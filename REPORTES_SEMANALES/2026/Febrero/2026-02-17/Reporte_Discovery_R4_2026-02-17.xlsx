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80" windowWidth="30240" windowHeight="17120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4"/>
    </font>
    <font>
      <name val="Calibri"/>
      <family val="2"/>
      <color rgb="FF000000"/>
      <sz val="11"/>
    </font>
    <font>
      <name val="Aptos Narrow"/>
      <family val="2"/>
      <color rgb="FF000000"/>
      <sz val="12"/>
    </font>
    <font>
      <name val="Aptos Narrow"/>
      <family val="2"/>
      <color rgb="FF000000"/>
      <sz val="12"/>
      <u val="single"/>
    </font>
    <font>
      <name val="Calibri"/>
      <family val="2"/>
      <color theme="1"/>
      <sz val="11"/>
    </font>
    <font>
      <name val="Calibri Light"/>
      <family val="2"/>
      <b val="1"/>
      <color rgb="FFFFFFFF"/>
      <sz val="18"/>
    </font>
    <font>
      <name val="Aptos Narrow"/>
      <family val="2"/>
      <b val="1"/>
      <color rgb="FF000000"/>
      <sz val="12"/>
    </font>
    <font>
      <name val="Wingdings"/>
      <family val="2"/>
      <color rgb="FF000000"/>
      <sz val="14"/>
    </font>
    <font>
      <name val="72 Light"/>
      <family val="2"/>
      <color rgb="FF000000"/>
      <sz val="14"/>
    </font>
    <font>
      <name val="Helvetica Neue"/>
      <family val="2"/>
      <color rgb="FFBFBFBF"/>
      <sz val="14"/>
    </font>
    <font>
      <name val="Helvetica Neue"/>
      <family val="2"/>
      <color rgb="FFE8E8E8"/>
      <sz val="2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</font>
    <font>
      <name val="Calibri (Body)"/>
      <color rgb="FF000000"/>
      <sz val="12"/>
    </font>
    <font>
      <name val="Calibri (Body)"/>
      <b val="1"/>
      <color theme="1"/>
      <sz val="12"/>
    </font>
    <font>
      <name val="Calibri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AEAEAE"/>
      </patternFill>
    </fill>
    <fill>
      <patternFill patternType="solid">
        <fgColor rgb="FFFFFFFF"/>
      </patternFill>
    </fill>
    <fill>
      <patternFill patternType="solid">
        <fgColor rgb="FFC2F1C8"/>
      </patternFill>
    </fill>
    <fill>
      <patternFill patternType="solid">
        <fgColor rgb="FFFF7E79"/>
      </patternFill>
    </fill>
    <fill>
      <patternFill patternType="solid">
        <fgColor rgb="FF0069C6"/>
      </patternFill>
    </fill>
    <fill>
      <patternFill patternType="solid">
        <fgColor rgb="FF83CBEB"/>
      </patternFill>
    </fill>
    <fill>
      <patternFill patternType="solid">
        <fgColor rgb="FFC1E5F5"/>
      </patternFill>
    </fill>
    <fill>
      <patternFill patternType="solid">
        <fgColor rgb="FFDCEAF7"/>
      </patternFill>
    </fill>
    <fill>
      <patternFill patternType="solid">
        <fgColor rgb="FFE8FDFF"/>
        <bgColor indexed="64"/>
      </patternFill>
    </fill>
    <fill>
      <patternFill patternType="solid">
        <fgColor rgb="FFFF0000"/>
        <bgColor rgb="FFFF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</borders>
  <cellStyleXfs count="2">
    <xf numFmtId="0" fontId="0" fillId="0" borderId="9"/>
    <xf numFmtId="0" fontId="12" fillId="0" borderId="9"/>
  </cellStyleXfs>
  <cellXfs count="14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3" borderId="2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3" fillId="3" borderId="8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3" fontId="5" fillId="0" borderId="9" applyAlignment="1" pivotButton="0" quotePrefix="0" xfId="0">
      <alignment horizontal="right"/>
    </xf>
    <xf numFmtId="0" fontId="5" fillId="0" borderId="9" applyAlignment="1" pivotButton="0" quotePrefix="0" xfId="0">
      <alignment horizontal="left"/>
    </xf>
    <xf numFmtId="0" fontId="5" fillId="0" borderId="9" applyAlignment="1" pivotButton="0" quotePrefix="0" xfId="0">
      <alignment horizontal="left" wrapText="1"/>
    </xf>
    <xf numFmtId="0" fontId="5" fillId="0" borderId="9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3" fontId="5" fillId="0" borderId="9" applyAlignment="1" pivotButton="0" quotePrefix="0" xfId="0">
      <alignment horizontal="center"/>
    </xf>
    <xf numFmtId="0" fontId="5" fillId="0" borderId="9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3" fontId="5" fillId="0" borderId="9" applyAlignment="1" pivotButton="0" quotePrefix="0" xfId="0">
      <alignment horizontal="right" wrapText="1"/>
    </xf>
    <xf numFmtId="3" fontId="2" fillId="0" borderId="1" applyAlignment="1" pivotButton="0" quotePrefix="0" xfId="0">
      <alignment horizontal="right" wrapText="1"/>
    </xf>
    <xf numFmtId="3" fontId="0" fillId="0" borderId="0" applyAlignment="1" pivotButton="0" quotePrefix="0" xfId="0">
      <alignment horizontal="right" wrapText="1"/>
    </xf>
    <xf numFmtId="0" fontId="2" fillId="0" borderId="1" applyAlignment="1" pivotButton="0" quotePrefix="1" xfId="0">
      <alignment horizontal="left"/>
    </xf>
    <xf numFmtId="0" fontId="2" fillId="0" borderId="1" applyAlignment="1" pivotButton="0" quotePrefix="1" xfId="0">
      <alignment horizontal="left" wrapText="1"/>
    </xf>
    <xf numFmtId="0" fontId="2" fillId="0" borderId="1" applyAlignment="1" pivotButton="0" quotePrefix="1" xfId="0">
      <alignment horizontal="center"/>
    </xf>
    <xf numFmtId="3" fontId="0" fillId="0" borderId="0" pivotButton="0" quotePrefix="0" xfId="0"/>
    <xf numFmtId="3" fontId="7" fillId="7" borderId="1" applyAlignment="1" pivotButton="0" quotePrefix="0" xfId="0">
      <alignment horizontal="center"/>
    </xf>
    <xf numFmtId="3" fontId="7" fillId="8" borderId="1" applyAlignment="1" pivotButton="0" quotePrefix="0" xfId="0">
      <alignment horizontal="center"/>
    </xf>
    <xf numFmtId="3" fontId="2" fillId="0" borderId="9" applyAlignment="1" pivotButton="0" quotePrefix="0" xfId="0">
      <alignment horizontal="center"/>
    </xf>
    <xf numFmtId="3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13" fillId="9" borderId="11" applyAlignment="1" pivotButton="0" quotePrefix="0" xfId="1">
      <alignment horizontal="center"/>
    </xf>
    <xf numFmtId="3" fontId="13" fillId="10" borderId="1" applyAlignment="1" pivotButton="0" quotePrefix="0" xfId="1">
      <alignment horizontal="center"/>
    </xf>
    <xf numFmtId="0" fontId="14" fillId="0" borderId="4" applyAlignment="1" pivotButton="0" quotePrefix="0" xfId="0">
      <alignment horizontal="left" vertical="center"/>
    </xf>
    <xf numFmtId="3" fontId="13" fillId="0" borderId="1" applyAlignment="1" pivotButton="0" quotePrefix="0" xfId="1">
      <alignment horizontal="center"/>
    </xf>
    <xf numFmtId="3" fontId="13" fillId="0" borderId="17" applyAlignment="1" pivotButton="0" quotePrefix="0" xfId="1">
      <alignment horizontal="center"/>
    </xf>
    <xf numFmtId="3" fontId="13" fillId="8" borderId="1" applyAlignment="1" pivotButton="0" quotePrefix="0" xfId="1">
      <alignment horizontal="center"/>
    </xf>
    <xf numFmtId="3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0" fillId="0" borderId="0" pivotButton="1" quotePrefix="0" xfId="0"/>
    <xf numFmtId="0" fontId="14" fillId="10" borderId="15" applyAlignment="1" pivotButton="0" quotePrefix="0" xfId="0">
      <alignment horizontal="left" vertical="center"/>
    </xf>
    <xf numFmtId="0" fontId="14" fillId="10" borderId="17" applyAlignment="1" pivotButton="0" quotePrefix="0" xfId="0">
      <alignment horizontal="left" vertical="center"/>
    </xf>
    <xf numFmtId="0" fontId="16" fillId="0" borderId="15" applyAlignment="1" pivotButton="0" quotePrefix="0" xfId="1">
      <alignment horizontal="center"/>
    </xf>
    <xf numFmtId="0" fontId="16" fillId="0" borderId="17" applyAlignment="1" pivotButton="0" quotePrefix="0" xfId="1">
      <alignment horizontal="center"/>
    </xf>
    <xf numFmtId="0" fontId="16" fillId="0" borderId="15" applyAlignment="1" pivotButton="0" quotePrefix="1" xfId="1">
      <alignment horizontal="center"/>
    </xf>
    <xf numFmtId="0" fontId="6" fillId="6" borderId="15" applyAlignment="1" pivotButton="0" quotePrefix="0" xfId="0">
      <alignment horizontal="center" vertical="center" wrapText="1"/>
    </xf>
    <xf numFmtId="0" fontId="6" fillId="6" borderId="16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8" borderId="15" applyAlignment="1" pivotButton="0" quotePrefix="0" xfId="0">
      <alignment horizontal="center" vertical="center"/>
    </xf>
    <xf numFmtId="0" fontId="7" fillId="8" borderId="16" applyAlignment="1" pivotButton="0" quotePrefix="0" xfId="0">
      <alignment horizontal="center" vertical="center"/>
    </xf>
    <xf numFmtId="0" fontId="7" fillId="8" borderId="17" applyAlignment="1" pivotButton="0" quotePrefix="0" xfId="0">
      <alignment horizontal="center" vertical="center"/>
    </xf>
    <xf numFmtId="0" fontId="7" fillId="3" borderId="19" applyAlignment="1" pivotButton="0" quotePrefix="0" xfId="0">
      <alignment horizontal="center" vertical="center"/>
    </xf>
    <xf numFmtId="0" fontId="7" fillId="3" borderId="2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9" borderId="15" applyAlignment="1" pivotButton="0" quotePrefix="0" xfId="0">
      <alignment horizontal="left" vertical="center"/>
    </xf>
    <xf numFmtId="0" fontId="7" fillId="9" borderId="16" applyAlignment="1" pivotButton="0" quotePrefix="0" xfId="0">
      <alignment horizontal="left" vertical="center"/>
    </xf>
    <xf numFmtId="0" fontId="7" fillId="9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7" fillId="7" borderId="15" applyAlignment="1" pivotButton="0" quotePrefix="0" xfId="0">
      <alignment horizontal="center" vertical="center"/>
    </xf>
    <xf numFmtId="0" fontId="7" fillId="7" borderId="16" applyAlignment="1" pivotButton="0" quotePrefix="0" xfId="0">
      <alignment horizontal="center" vertical="center"/>
    </xf>
    <xf numFmtId="0" fontId="7" fillId="7" borderId="17" applyAlignment="1" pivotButton="0" quotePrefix="0" xfId="0">
      <alignment horizontal="center" vertical="center"/>
    </xf>
    <xf numFmtId="3" fontId="6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3" fontId="7" fillId="0" borderId="4" applyAlignment="1" pivotButton="0" quotePrefix="0" xfId="0">
      <alignment horizontal="center" vertical="center" wrapText="1"/>
    </xf>
    <xf numFmtId="3" fontId="7" fillId="0" borderId="7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6" fillId="6" borderId="10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top"/>
    </xf>
    <xf numFmtId="0" fontId="2" fillId="0" borderId="5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3" borderId="2" applyAlignment="1" pivotButton="0" quotePrefix="0" xfId="0">
      <alignment horizontal="left" vertical="top"/>
    </xf>
    <xf numFmtId="14" fontId="2" fillId="3" borderId="6" applyAlignment="1" pivotButton="0" quotePrefix="0" xfId="0">
      <alignment horizontal="left"/>
    </xf>
    <xf numFmtId="14" fontId="2" fillId="3" borderId="8" applyAlignment="1" pivotButton="0" quotePrefix="0" xfId="0">
      <alignment horizontal="left"/>
    </xf>
    <xf numFmtId="0" fontId="2" fillId="4" borderId="2" applyAlignment="1" pivotButton="0" quotePrefix="0" xfId="0">
      <alignment horizontal="left" vertical="top"/>
    </xf>
    <xf numFmtId="0" fontId="2" fillId="4" borderId="6" applyAlignment="1" pivotButton="0" quotePrefix="0" xfId="0">
      <alignment horizontal="left"/>
    </xf>
    <xf numFmtId="0" fontId="2" fillId="4" borderId="8" applyAlignment="1" pivotButton="0" quotePrefix="0" xfId="0">
      <alignment horizontal="left"/>
    </xf>
    <xf numFmtId="0" fontId="0" fillId="0" borderId="16" pivotButton="0" quotePrefix="0" xfId="0"/>
    <xf numFmtId="0" fontId="0" fillId="0" borderId="17" pivotButton="0" quotePrefix="0" xfId="0"/>
    <xf numFmtId="0" fontId="7" fillId="7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0" borderId="13" pivotButton="0" quotePrefix="0" xfId="0"/>
    <xf numFmtId="0" fontId="14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0" fillId="0" borderId="5" pivotButton="0" quotePrefix="0" xfId="0"/>
    <xf numFmtId="0" fontId="7" fillId="3" borderId="15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20" pivotButton="0" quotePrefix="0" xfId="0"/>
    <xf numFmtId="0" fontId="0" fillId="11" borderId="13" pivotButton="0" quotePrefix="0" xfId="0"/>
    <xf numFmtId="0" fontId="0" fillId="11" borderId="5" pivotButton="0" quotePrefix="0" xfId="0"/>
    <xf numFmtId="0" fontId="0" fillId="11" borderId="20" pivotButton="0" quotePrefix="0" xfId="0"/>
    <xf numFmtId="0" fontId="14" fillId="11" borderId="1" applyAlignment="1" pivotButton="0" quotePrefix="0" xfId="0">
      <alignment horizontal="center" vertical="center"/>
    </xf>
    <xf numFmtId="0" fontId="14" fillId="11" borderId="4" applyAlignment="1" pivotButton="0" quotePrefix="0" xfId="0">
      <alignment horizontal="left" vertical="center"/>
    </xf>
    <xf numFmtId="3" fontId="13" fillId="11" borderId="1" applyAlignment="1" pivotButton="0" quotePrefix="0" xfId="1">
      <alignment horizontal="center"/>
    </xf>
    <xf numFmtId="0" fontId="0" fillId="11" borderId="18" pivotButton="0" quotePrefix="0" xfId="0"/>
    <xf numFmtId="0" fontId="0" fillId="11" borderId="7" pivotButton="0" quotePrefix="0" xfId="0"/>
    <xf numFmtId="3" fontId="13" fillId="11" borderId="17" applyAlignment="1" pivotButton="0" quotePrefix="0" xfId="1">
      <alignment horizontal="center"/>
    </xf>
    <xf numFmtId="0" fontId="14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14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1">
      <alignment horizontal="center"/>
    </xf>
    <xf numFmtId="0" fontId="16" fillId="0" borderId="1" applyAlignment="1" pivotButton="0" quotePrefix="1" xfId="1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/>
    <pageSetUpPr/>
  </sheetPr>
  <dimension ref="A1:F22"/>
  <sheetViews>
    <sheetView tabSelected="1" zoomScale="180" zoomScaleNormal="180" workbookViewId="0">
      <selection activeCell="A1" sqref="A1"/>
    </sheetView>
  </sheetViews>
  <sheetFormatPr baseColWidth="10" defaultColWidth="8.83203125" defaultRowHeight="15"/>
  <cols>
    <col width="12.5" bestFit="1" customWidth="1" style="24" min="1" max="3"/>
    <col width="11.1640625" customWidth="1" style="24" min="4" max="4"/>
    <col width="17.5" customWidth="1" style="24" min="5" max="5"/>
    <col width="10.1640625" customWidth="1" style="31" min="6" max="6"/>
  </cols>
  <sheetData>
    <row r="1" ht="17.25" customHeight="1">
      <c r="A1" s="17" t="n"/>
      <c r="B1" s="17" t="n"/>
      <c r="C1" s="17" t="n"/>
      <c r="D1" s="17" t="n"/>
      <c r="E1" s="17" t="n"/>
      <c r="F1" s="25" t="n"/>
    </row>
    <row r="2" ht="24" customFormat="1" customHeight="1" s="18">
      <c r="A2" s="68" t="inlineStr">
        <is>
          <t>Inventario R4 - Resumen</t>
        </is>
      </c>
      <c r="B2" s="114" t="n"/>
      <c r="C2" s="114" t="n"/>
      <c r="D2" s="114" t="n"/>
      <c r="E2" s="114" t="n"/>
      <c r="F2" s="115" t="n"/>
    </row>
    <row r="3" ht="17.25" customHeight="1">
      <c r="A3" s="116" t="inlineStr">
        <is>
          <t>Total Dispositivos y/o Direcciones IPs Descubiertos</t>
        </is>
      </c>
      <c r="B3" s="114" t="n"/>
      <c r="C3" s="114" t="n"/>
      <c r="D3" s="114" t="n"/>
      <c r="E3" s="115" t="n"/>
      <c r="F3" s="41" t="n">
        <v>4423</v>
      </c>
    </row>
    <row r="4" ht="17.25" customHeight="1">
      <c r="A4" s="117" t="n"/>
      <c r="B4" s="118" t="inlineStr">
        <is>
          <t>Dispositivos Identificados</t>
        </is>
      </c>
      <c r="C4" s="114" t="n"/>
      <c r="D4" s="114" t="n"/>
      <c r="E4" s="115" t="n"/>
      <c r="F4" s="42">
        <f>F5+F10+F13+F14</f>
        <v/>
      </c>
    </row>
    <row r="5" ht="17.25" customHeight="1">
      <c r="A5" s="119" t="n"/>
      <c r="B5" s="120" t="n"/>
      <c r="C5" s="121" t="inlineStr">
        <is>
          <t>Total Servidores</t>
        </is>
      </c>
      <c r="D5" s="114" t="n"/>
      <c r="E5" s="115" t="n"/>
      <c r="F5" s="47" t="n">
        <v>80</v>
      </c>
    </row>
    <row r="6" ht="17.25" customHeight="1">
      <c r="A6" s="119" t="n"/>
      <c r="B6" s="122" t="n"/>
      <c r="C6" s="123" t="n"/>
      <c r="D6" s="124" t="inlineStr">
        <is>
          <t>Servidores con Cortex</t>
        </is>
      </c>
      <c r="E6" s="115" t="n"/>
      <c r="F6" s="48" t="n">
        <v>59</v>
      </c>
    </row>
    <row r="7" ht="17.25" customHeight="1">
      <c r="A7" s="119" t="n"/>
      <c r="B7" s="122" t="n"/>
      <c r="C7" s="125" t="n"/>
      <c r="D7" s="124" t="inlineStr">
        <is>
          <t>Servidores sin Cortex</t>
        </is>
      </c>
      <c r="E7" s="115" t="n"/>
      <c r="F7" s="48">
        <f>F5-F6</f>
        <v/>
      </c>
    </row>
    <row r="8" ht="17.25" customHeight="1">
      <c r="A8" s="126" t="n"/>
      <c r="B8" s="127" t="n"/>
      <c r="C8" s="128" t="n"/>
      <c r="D8" s="129" t="n"/>
      <c r="E8" s="130" t="inlineStr">
        <is>
          <t>Cortex Soportado</t>
        </is>
      </c>
      <c r="F8" s="131" t="n"/>
    </row>
    <row r="9" ht="17.25" customHeight="1">
      <c r="A9" s="126" t="n"/>
      <c r="B9" s="127" t="n"/>
      <c r="C9" s="132" t="n"/>
      <c r="D9" s="133" t="n"/>
      <c r="E9" s="130" t="inlineStr">
        <is>
          <t>Cortex no Soportado</t>
        </is>
      </c>
      <c r="F9" s="134" t="n"/>
    </row>
    <row r="10" ht="17.25" customHeight="1">
      <c r="A10" s="119" t="n"/>
      <c r="B10" s="122" t="n"/>
      <c r="C10" s="121" t="inlineStr">
        <is>
          <t>PCs</t>
        </is>
      </c>
      <c r="D10" s="114" t="n"/>
      <c r="E10" s="115" t="n"/>
      <c r="F10" s="47" t="n">
        <v>9</v>
      </c>
    </row>
    <row r="11" ht="17.25" customHeight="1">
      <c r="A11" s="119" t="n"/>
      <c r="B11" s="122" t="n"/>
      <c r="C11" s="104" t="n"/>
      <c r="D11" s="135" t="inlineStr">
        <is>
          <t>PCs con Cortex</t>
        </is>
      </c>
      <c r="E11" s="115" t="n"/>
      <c r="F11" s="50" t="n">
        <v>8</v>
      </c>
    </row>
    <row r="12" ht="17.25" customHeight="1">
      <c r="A12" s="119" t="n"/>
      <c r="B12" s="122" t="n"/>
      <c r="C12" s="136" t="n"/>
      <c r="D12" s="135" t="inlineStr">
        <is>
          <t>PCs sin Cortex</t>
        </is>
      </c>
      <c r="E12" s="115" t="n"/>
      <c r="F12" s="50">
        <f>F10-F11</f>
        <v/>
      </c>
    </row>
    <row r="13" ht="17.25" customHeight="1">
      <c r="A13" s="119" t="n"/>
      <c r="B13" s="122" t="n"/>
      <c r="C13" s="121" t="inlineStr">
        <is>
          <t>Dispositivos de Red o colaboración</t>
        </is>
      </c>
      <c r="D13" s="114" t="n"/>
      <c r="E13" s="115" t="n"/>
      <c r="F13" s="47" t="n">
        <v>3543</v>
      </c>
    </row>
    <row r="14" ht="17.25" customHeight="1">
      <c r="A14" s="119" t="n"/>
      <c r="B14" s="136" t="n"/>
      <c r="C14" s="121" t="inlineStr">
        <is>
          <t>Otros dispositivos identificados (No servidores)</t>
        </is>
      </c>
      <c r="D14" s="114" t="n"/>
      <c r="E14" s="115" t="n"/>
      <c r="F14" s="47" t="n">
        <v>262</v>
      </c>
    </row>
    <row r="15" ht="17.25" customHeight="1">
      <c r="A15" s="119" t="n"/>
      <c r="B15" s="118" t="inlineStr">
        <is>
          <t>IPs No Identificados (Servidores)</t>
        </is>
      </c>
      <c r="C15" s="114" t="n"/>
      <c r="D15" s="114" t="n"/>
      <c r="E15" s="115" t="n"/>
      <c r="F15" s="52" t="n">
        <v>388</v>
      </c>
    </row>
    <row r="16" ht="17.25" customHeight="1">
      <c r="A16" s="137" t="n"/>
      <c r="B16" s="118" t="inlineStr">
        <is>
          <t>IPs No Identificados (No Vendor)</t>
        </is>
      </c>
      <c r="C16" s="114" t="n"/>
      <c r="D16" s="114" t="n"/>
      <c r="E16" s="115" t="n"/>
      <c r="F16" s="42">
        <f>F3-F4-F15</f>
        <v/>
      </c>
    </row>
    <row r="17" ht="17.25" customHeight="1">
      <c r="A17" s="17" t="n"/>
      <c r="B17" s="17" t="n"/>
      <c r="C17" s="17" t="n"/>
      <c r="D17" s="17" t="n"/>
      <c r="E17" s="17" t="n"/>
      <c r="F17" s="43" t="n"/>
    </row>
    <row r="18" ht="17.25" customHeight="1">
      <c r="A18" s="17" t="n"/>
      <c r="B18" s="17" t="n"/>
      <c r="C18" s="17" t="n"/>
      <c r="D18" s="17" t="n"/>
      <c r="E18" s="17" t="n"/>
      <c r="F18" s="43" t="n"/>
    </row>
    <row r="19" ht="24" customFormat="1" customHeight="1" s="18">
      <c r="A19" s="68" t="inlineStr">
        <is>
          <t>Servidores R4 - Vulnerabilidades</t>
        </is>
      </c>
      <c r="B19" s="114" t="n"/>
      <c r="C19" s="114" t="n"/>
      <c r="D19" s="114" t="n"/>
      <c r="E19" s="114" t="n"/>
      <c r="F19" s="115" t="n"/>
    </row>
    <row r="20" ht="17.25" customHeight="1">
      <c r="A20" s="138" t="inlineStr">
        <is>
          <t>Servidores con vulnerabilidades Críticas</t>
        </is>
      </c>
      <c r="B20" s="114" t="n"/>
      <c r="C20" s="114" t="n"/>
      <c r="D20" s="115" t="n"/>
      <c r="E20" s="139" t="n">
        <v>11</v>
      </c>
      <c r="F20" s="115" t="n"/>
    </row>
    <row r="21" ht="17.25" customHeight="1">
      <c r="A21" s="138" t="inlineStr">
        <is>
          <t>Servidores con vulnerabilidades Altas</t>
        </is>
      </c>
      <c r="B21" s="114" t="n"/>
      <c r="C21" s="114" t="n"/>
      <c r="D21" s="115" t="n"/>
      <c r="E21" s="139" t="n">
        <v>12</v>
      </c>
      <c r="F21" s="115" t="n"/>
    </row>
    <row r="22" ht="17.25" customHeight="1">
      <c r="A22" s="138" t="inlineStr">
        <is>
          <t>Servidores con EoL</t>
        </is>
      </c>
      <c r="B22" s="114" t="n"/>
      <c r="C22" s="114" t="n"/>
      <c r="D22" s="115" t="n"/>
      <c r="E22" s="140" t="n">
        <v>15</v>
      </c>
      <c r="F22" s="115" t="n"/>
    </row>
  </sheetData>
  <mergeCells count="25">
    <mergeCell ref="A22:D22"/>
    <mergeCell ref="A20:D20"/>
    <mergeCell ref="B15:E15"/>
    <mergeCell ref="B5:B14"/>
    <mergeCell ref="A2:F2"/>
    <mergeCell ref="D6:E6"/>
    <mergeCell ref="E20:F20"/>
    <mergeCell ref="B4:E4"/>
    <mergeCell ref="D11:E11"/>
    <mergeCell ref="B16:E16"/>
    <mergeCell ref="C11:C12"/>
    <mergeCell ref="A3:E3"/>
    <mergeCell ref="D7:E7"/>
    <mergeCell ref="C13:E13"/>
    <mergeCell ref="A19:F19"/>
    <mergeCell ref="D8:D9"/>
    <mergeCell ref="D12:E12"/>
    <mergeCell ref="A4:A16"/>
    <mergeCell ref="C14:E14"/>
    <mergeCell ref="C5:E5"/>
    <mergeCell ref="A21:D21"/>
    <mergeCell ref="E22:F22"/>
    <mergeCell ref="C6:C9"/>
    <mergeCell ref="E21:F21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2025-08-06T00:14:41Z</dcterms:created>
  <dcterms:modified xmlns:dcterms="http://purl.org/dc/terms/" xmlns:xsi="http://www.w3.org/2001/XMLSchema-instance" xsi:type="dcterms:W3CDTF">2026-02-17T23:38:21Z</dcterms:modified>
  <cp:lastModifiedBy>Rodriguez Arellano, Jose De Jesus</cp:lastModifiedBy>
</cp:coreProperties>
</file>