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codeName="ThisWorkbook" hidePivotFieldList="1"/>
  <mc:AlternateContent xmlns:mc="http://schemas.openxmlformats.org/markup-compatibility/2006">
    <mc:Choice Requires="x15">
      <x15ac:absPath xmlns:x15ac="http://schemas.microsoft.com/office/spreadsheetml/2010/11/ac" url="/Users/jesusarellano/Documents/TELCEL/AXONIUS/Desarrollo/src/"/>
    </mc:Choice>
  </mc:AlternateContent>
  <xr:revisionPtr revIDLastSave="0" documentId="13_ncr:1_{5BD7ADC6-8C07-EF44-9657-435011BC4E74}" xr6:coauthVersionLast="47" xr6:coauthVersionMax="47" xr10:uidLastSave="{00000000-0000-0000-0000-000000000000}"/>
  <bookViews>
    <workbookView xWindow="0" yWindow="680" windowWidth="30240" windowHeight="17120" xr2:uid="{00000000-000D-0000-FFFF-FFFF00000000}"/>
  </bookViews>
  <sheets>
    <sheet name="Resumen" sheetId="1" r:id="rId1"/>
    <sheet name="Inventario - PC" sheetId="2" r:id="rId2"/>
    <sheet name="Inventario - Red" sheetId="3" r:id="rId3"/>
    <sheet name="Inventario" sheetId="4" r:id="rId4"/>
    <sheet name="Inventario - EOL" sheetId="5" r:id="rId5"/>
    <sheet name="Inventario No Identificados" sheetId="6" r:id="rId6"/>
    <sheet name="Inventario Identificados" sheetId="7" r:id="rId7"/>
    <sheet name="No Identificados" sheetId="8" r:id="rId8"/>
    <sheet name="Identificados (OTROS)" sheetId="9" r:id="rId9"/>
    <sheet name="Adaptadores integrados" sheetId="10" r:id="rId10"/>
  </sheets>
  <definedNames>
    <definedName name="_xlnm._FilterDatabase" localSheetId="9">'Adaptadores integrados'!$B$2:$G$35</definedName>
    <definedName name="_xlnm._FilterDatabase" localSheetId="3" hidden="1">Inventario!$A$5:$J$5</definedName>
    <definedName name="_xlnm._FilterDatabase" localSheetId="4" hidden="1">'Inventario - EOL'!$A$4:$H$5</definedName>
    <definedName name="_xlnm._FilterDatabase" localSheetId="1" hidden="1">'Inventario - PC'!$A$4:$G$5</definedName>
    <definedName name="_xlnm._FilterDatabase" localSheetId="2" hidden="1">'Inventario - Red'!$A$4:$F$4</definedName>
    <definedName name="_xlnm._FilterDatabase" localSheetId="6" hidden="1">'Inventario Identificados'!$A$4:$E$4</definedName>
    <definedName name="_xlnm._FilterDatabase" localSheetId="5" hidden="1">'Inventario No Identificados'!$A$4:$E$4</definedName>
  </definedNames>
  <calcPr calcId="191029"/>
  <pivotCaches>
    <pivotCache cacheId="93" r:id="rId11"/>
    <pivotCache cacheId="94"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 l="1" a="1"/>
  <c r="F9" i="1" s="1"/>
  <c r="F8" i="1" s="1"/>
  <c r="F15" i="1"/>
  <c r="F14" i="1"/>
  <c r="F12" i="1"/>
  <c r="F11" i="1"/>
  <c r="F10" i="1"/>
  <c r="F5" i="1"/>
  <c r="F4" i="1" l="1"/>
  <c r="F16"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<sst xmlns="http://schemas.openxmlformats.org/spreadsheetml/2006/main" count="239" uniqueCount="153">
  <si>
    <t>Adaptador</t>
  </si>
  <si>
    <t>Región</t>
  </si>
  <si>
    <t>Sitio</t>
  </si>
  <si>
    <t>Responsable</t>
  </si>
  <si>
    <t>Estatus</t>
  </si>
  <si>
    <t>Descripción</t>
  </si>
  <si>
    <t>Cisco APIC</t>
  </si>
  <si>
    <t>R9</t>
  </si>
  <si>
    <t>IXTLAHUACA</t>
  </si>
  <si>
    <t>Carlos Villafranca Bonilla</t>
  </si>
  <si>
    <t>Exitoso</t>
  </si>
  <si>
    <t>El Cisco Application Policy Infrastructure Controller (APIC) es el componente arquitectónico principal de Cisco ACI. Es el punto unificado para la automatización y gestión de la infraestructura de Cisco ACI, la aplicación de políticas y el monitoreo de salud, optimizando el rendimiento y la agilidad.</t>
  </si>
  <si>
    <t>Cortex</t>
  </si>
  <si>
    <t>https://api-scitumcert.xdr.us.paloaltonetworks.com</t>
  </si>
  <si>
    <t>Jorge Alvarado</t>
  </si>
  <si>
    <t>Palo Alto Networks Cortex XDR es una aplicación de detección y respuesta que integra de forma nativa datos de red, endpoint y nube para detectar amenazas y detener ataques sofisticados.</t>
  </si>
  <si>
    <t>Vmware</t>
  </si>
  <si>
    <t>10.119.78.210</t>
  </si>
  <si>
    <t>Roman García Bernal</t>
  </si>
  <si>
    <t>VMware ESXi es un hipervisor de clase empresarial, tipo 1, diseñado para implementar y gestionar computadoras virtuales. VMware vSphere es la plataforma de virtualización para computación en la nube de VMware.</t>
  </si>
  <si>
    <t>10.191.141.20</t>
  </si>
  <si>
    <t>10.59.205.39</t>
  </si>
  <si>
    <t>10.59.205.40</t>
  </si>
  <si>
    <t>https://vcpvmvcsa01.telcelcloud.dt</t>
  </si>
  <si>
    <t>Francisco Javier Reyes Alcántara</t>
  </si>
  <si>
    <t>Microsoft AD</t>
  </si>
  <si>
    <t>telcel.net</t>
  </si>
  <si>
    <t>Rocio Castro</t>
  </si>
  <si>
    <t>Microsoft Active Directory (AD) es un servicio de directorio para redes de dominio en Windows que autentica y autoriza a todos los usuarios y computadoras.</t>
  </si>
  <si>
    <t>corpamx.com</t>
  </si>
  <si>
    <t>Tenable Nessus</t>
  </si>
  <si>
    <t>10.152.30.219</t>
  </si>
  <si>
    <t>José Juan León</t>
  </si>
  <si>
    <t>Tenable Nessus es una plataforma de análisis de vulnerabilidades para auditores y analistas de seguridad.</t>
  </si>
  <si>
    <t>Tenable.sc (SecurityCenter)</t>
  </si>
  <si>
    <t>10.152.30.218</t>
  </si>
  <si>
    <t>Tenable.sc (anteriormente SecurityCenter) consolida y evalúa datos de vulnerabilidades, priorizando los riesgos de seguridad.</t>
  </si>
  <si>
    <t>HPE OneView</t>
  </si>
  <si>
    <t>https://10.59.198.91/#/login</t>
  </si>
  <si>
    <t>Ernesto David Vergara</t>
  </si>
  <si>
    <t>HPE OneView es una solución integrada de gestión de TI que transforma el cómputo, el almacenamiento y la red en una infraestructura definida por software para automatizar tareas.</t>
  </si>
  <si>
    <t>Red Hat Satellite</t>
  </si>
  <si>
    <t>https://10.119.111.123/users/login</t>
  </si>
  <si>
    <t>Jorge Jimenez Matus</t>
  </si>
  <si>
    <t>Red Hat Satellite es una solución de gestión de sistemas utilizada para implementar, configurar y mantener sistemas en entornos físicos, virtuales y en la nube.</t>
  </si>
  <si>
    <t>Dynatrace</t>
  </si>
  <si>
    <t>Dynatrace - MoSER (OYM)</t>
  </si>
  <si>
    <t>Dynatrace es una plataforma de inteligencia de software que ofrece gestión del rendimiento de aplicaciones y monitoreo de infraestructura en la nube.</t>
  </si>
  <si>
    <t>Nagios</t>
  </si>
  <si>
    <t>https://10.59.230.86/nagiosxi/api/v1/</t>
  </si>
  <si>
    <t>Nagios XI ofrece monitoreo empresarial de servidores y redes.</t>
  </si>
  <si>
    <t>Huawei eSight</t>
  </si>
  <si>
    <t>https://10.34.226.212:31943/</t>
  </si>
  <si>
    <t>En revisión por parte de axonius</t>
  </si>
  <si>
    <t>Huawei eSight es una plataforma empresarial de operación y mantenimiento (O&amp;M) que ofrece gestión convergente entre múltiples proveedores y productos, monitoreo visualizado y análisis inteligente para dispositivos de TIC empresariales.</t>
  </si>
  <si>
    <t>vRops (Vmware Aria Operations)</t>
  </si>
  <si>
    <t>https://vcppvmvrop01.telcelcloud.dt</t>
  </si>
  <si>
    <t>Alvaro Garcia</t>
  </si>
  <si>
    <t>VMware vRealize Operations (vROps) ofrece una plataforma de gestión de operaciones de TI para entornos privados, híbridos y multinube, abarcando infraestructura física, virtual y en la nube, incluidos máquinas virtuales (VMs) y contenedores.</t>
  </si>
  <si>
    <t>IES – Assurance -- Huawei</t>
  </si>
  <si>
    <t>Horacio Hernandez Bautista</t>
  </si>
  <si>
    <t>Sin adaptador</t>
  </si>
  <si>
    <t>iES Assurance de Huawei es una solución diseñada para la gestión y aseguramiento de la calidad de los servicios en redes y sistemas de telecomunicaciones. </t>
  </si>
  <si>
    <r>
      <t>UIM - Unified Infrastructure Management </t>
    </r>
    <r>
      <rPr>
        <sz val="14"/>
        <color rgb="FF000000"/>
        <rFont val="Wingdings"/>
        <family val="2"/>
      </rPr>
      <t>à</t>
    </r>
    <r>
      <rPr>
        <sz val="14"/>
        <color rgb="FF000000"/>
        <rFont val="72 Light"/>
        <family val="2"/>
      </rPr>
      <t> Broadcomm</t>
    </r>
  </si>
  <si>
    <t>UIM proporciona una solución única y basada en análisis para una gestión eficaz y proactiva de infraestructuras de TI híbridas, modernas y en la nube. </t>
  </si>
  <si>
    <t>OBM - Operation Bridge Manager</t>
  </si>
  <si>
    <t>Operations Bridge Manager descubre y monitorea automáticamente la infraestructura de TI de una empresa mediante la recopilación de datos de topología y eventos.</t>
  </si>
  <si>
    <t>Centreon</t>
  </si>
  <si>
    <t>Alfonso Ruvalcaba/Alvaro García</t>
  </si>
  <si>
    <r>
      <t>Centreon</t>
    </r>
    <r>
      <rPr>
        <sz val="14"/>
        <color rgb="FFBFBFBF"/>
        <rFont val="Helvetica Neue"/>
        <family val="2"/>
      </rPr>
      <t> </t>
    </r>
    <r>
      <rPr>
        <sz val="12"/>
        <color rgb="FF000000"/>
        <rFont val="Aptos Narrow"/>
        <family val="2"/>
      </rPr>
      <t>es un software de monitorización de TI que ayuda a las empresas a garantizar la disponibilidad y el rendimiento de su TI.</t>
    </r>
  </si>
  <si>
    <t>Gestor OBM</t>
  </si>
  <si>
    <t>Grafana</t>
  </si>
  <si>
    <t>Grafana es una solución de análisis y monitoreo de código abierto para todo tipo de bases de datos.</t>
  </si>
  <si>
    <t>Gestor Cisco Prime (CUOM) </t>
  </si>
  <si>
    <t>Existe el adaptador sin embargo el ing Alfonso Ruvalcaba solicita que cualquier información o acceso se solicite a través de subdirección</t>
  </si>
  <si>
    <t>Cisco Prime ofrece un conjunto de herramientas para automatizar la gestión de redes cableadas e inalámbricas de Cisco.</t>
  </si>
  <si>
    <t>CUCM (Call Manager de Cisco)</t>
  </si>
  <si>
    <r>
      <t>Cisco Unified Communications Manager</t>
    </r>
    <r>
      <rPr>
        <sz val="20"/>
        <color rgb="FFE8E8E8"/>
        <rFont val="Helvetica Neue"/>
        <family val="2"/>
      </rPr>
      <t> </t>
    </r>
    <r>
      <rPr>
        <sz val="12"/>
        <color rgb="FF000000"/>
        <rFont val="Aptos Narrow"/>
        <family val="2"/>
      </rPr>
      <t>lleva las características y capacidades de la telefonía para empresas a los dispositivos de red de telefonía por paquetes, tales como teléfonos IP, gateways de voz a través de IP (VoIP) y aplicaciones multimedia.</t>
    </r>
  </si>
  <si>
    <t>Red Hat Virtualization</t>
  </si>
  <si>
    <t>Ricardo Herrera</t>
  </si>
  <si>
    <t>En proceso de desarrollo por axonius</t>
  </si>
  <si>
    <t>Red Hat Virtualization es una plataforma de virtualización de clase empresarial producida por Red Hat. Su objetivo es virtualizar aplicaciones importantes en el centro de datos empresarial mientras se logra el rendimiento, la resistencia y la seguridad.</t>
  </si>
  <si>
    <t>Trend Micro Deep Security</t>
  </si>
  <si>
    <t>https://10.152.30.88</t>
  </si>
  <si>
    <t>Aldo Cruz</t>
  </si>
  <si>
    <t>Trend Micro Deep Security puede parchear automáticamente vulnerabilidades en servidores, entornos de nube, VDI y aplicaciones de forma virtual.</t>
  </si>
  <si>
    <t>VDI</t>
  </si>
  <si>
    <t>https://10.119.251.71</t>
  </si>
  <si>
    <t>Victor Rosas</t>
  </si>
  <si>
    <t>https://10.54.137.234</t>
  </si>
  <si>
    <t>https://10.119.173.23/ui</t>
  </si>
  <si>
    <t>CSV Manual</t>
  </si>
  <si>
    <t xml:space="preserve">Tango </t>
  </si>
  <si>
    <t>Veronica de la Rosa</t>
  </si>
  <si>
    <t>El adaptador CSV importa archivos .csv con información de inventario, incluyendo datos de dispositivos, usuarios y software instalado.</t>
  </si>
  <si>
    <t>Digital view</t>
  </si>
  <si>
    <t>Gerardo Arellano</t>
  </si>
  <si>
    <t>En espera de información para iniciar el desarrollo del adaptador, la informción pendiente es por parte del proveedor huawei</t>
  </si>
  <si>
    <t> Digital View se enfoca en la visualización de datos de redes, servidores, almacenamiento y otros componentes de infraestructura, proporcionando herramientas para la supervisión, diagnóstico y análisis proactivo de posibles problemas.</t>
  </si>
  <si>
    <t xml:space="preserve">Identificados (No servidores) - Inventario </t>
  </si>
  <si>
    <t>No</t>
  </si>
  <si>
    <t>Hostname</t>
  </si>
  <si>
    <t>Dir IP</t>
  </si>
  <si>
    <t>MAC</t>
  </si>
  <si>
    <t>Sistema Operativo</t>
  </si>
  <si>
    <t>SVVUW0106S3MXCO</t>
  </si>
  <si>
    <t>10.188.60.195</t>
  </si>
  <si>
    <t>00:90:FB:63:B2:84</t>
  </si>
  <si>
    <t>Windows 10</t>
  </si>
  <si>
    <t xml:space="preserve">No identificados (Servidores) - Inventario </t>
  </si>
  <si>
    <t xml:space="preserve">Servidores Ixtlahuaca - Inventario </t>
  </si>
  <si>
    <t>SISTEMA OPERATIVO</t>
  </si>
  <si>
    <t>Virtual Patching</t>
  </si>
  <si>
    <t>Software EoL</t>
  </si>
  <si>
    <t xml:space="preserve">Servidores CARSO - Inventario </t>
  </si>
  <si>
    <t>Virtual Patching (Trend Micro)</t>
  </si>
  <si>
    <t>Vulnerabilidades</t>
  </si>
  <si>
    <t>Comentarios</t>
  </si>
  <si>
    <t>#Criticas</t>
  </si>
  <si>
    <t>#Altas</t>
  </si>
  <si>
    <t xml:space="preserve">Network Devices - Inventario </t>
  </si>
  <si>
    <t xml:space="preserve">PCs CARSO - Inventario </t>
  </si>
  <si>
    <t/>
  </si>
  <si>
    <t>Total Dispositivos y/o Direcciones IPs Descubiertos</t>
  </si>
  <si>
    <t>Dispositivos Identificados</t>
  </si>
  <si>
    <t>Total Servidores</t>
  </si>
  <si>
    <t>Servidores con Cortex</t>
  </si>
  <si>
    <t>PCs</t>
  </si>
  <si>
    <t>PCs con Cortex</t>
  </si>
  <si>
    <t>PCs sin Cortex</t>
  </si>
  <si>
    <t>Dispositivos de Red o colaboración</t>
  </si>
  <si>
    <t>Otros dispositivos identificados (No servidores)</t>
  </si>
  <si>
    <t>IPs No Identificados (Servidores)</t>
  </si>
  <si>
    <t>IPs No Identificados (No Vendor)</t>
  </si>
  <si>
    <t>Servidores Lago Alberto - Vulnerabilidades</t>
  </si>
  <si>
    <t>Servidores con vulnerabilidades Críticas</t>
  </si>
  <si>
    <t>Servidores con vulnerabilidades Altas</t>
  </si>
  <si>
    <t>Servidores con EoL</t>
  </si>
  <si>
    <t>Servidores sin Cortex</t>
  </si>
  <si>
    <t>Cortex Soportado</t>
  </si>
  <si>
    <t>Cortex no Soportado</t>
  </si>
  <si>
    <t>Inventario!A1</t>
  </si>
  <si>
    <t>Inventario - EOL'!A1</t>
  </si>
  <si>
    <t>Adaptadores</t>
  </si>
  <si>
    <t>IPs</t>
  </si>
  <si>
    <t>MACs</t>
  </si>
  <si>
    <t>Manufacturer</t>
  </si>
  <si>
    <t>Clasificacion</t>
  </si>
  <si>
    <t>Row Labels</t>
  </si>
  <si>
    <t>Grand Total</t>
  </si>
  <si>
    <t>Count of Clasificacion</t>
  </si>
  <si>
    <t>(blank)</t>
  </si>
  <si>
    <t>Window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</si>
</sst>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b/>
      <sz val="14"/>
      <color rgb="FF000000"/>
      <name val="Aptos Narrow"/>
      <family val="2"/>
    </font>
    <font>
      <sz val="11"/>
      <color rgb="FF000000"/>
      <name val="Calibri"/>
      <family val="2"/>
    </font>
    <font>
      <sz val="12"/>
      <color rgb="FF000000"/>
      <name val="Aptos Narrow"/>
      <family val="2"/>
    </font>
    <font>
      <u/>
      <sz val="12"/>
      <color rgb="FF000000"/>
      <name val="Aptos Narrow"/>
      <family val="2"/>
    </font>
    <font>
      <sz val="11"/>
      <color theme="1"/>
      <name val="Calibri"/>
      <family val="2"/>
    </font>
    <font>
      <b/>
      <sz val="18"/>
      <color rgb="FFFFFFFF"/>
      <name val="Calibri Light"/>
      <family val="2"/>
    </font>
    <font>
      <b/>
      <sz val="12"/>
      <color rgb="FF000000"/>
      <name val="Aptos Narrow"/>
      <family val="2"/>
    </font>
    <font>
      <sz val="14"/>
      <color rgb="FF000000"/>
      <name val="Wingdings"/>
      <family val="2"/>
    </font>
    <font>
      <sz val="14"/>
      <color rgb="FF000000"/>
      <name val="72 Light"/>
      <family val="2"/>
    </font>
    <font>
      <sz val="14"/>
      <color rgb="FFBFBFBF"/>
      <name val="Helvetica Neue"/>
      <family val="2"/>
    </font>
    <font>
      <sz val="20"/>
      <color rgb="FFE8E8E8"/>
      <name val="Helvetica Neue"/>
      <family val="2"/>
    </font>
    <font>
      <u/>
      <sz val="11"/>
      <color theme="10"/>
      <name val="Calibri"/>
      <family val="2"/>
      <scheme val="minor"/>
    </font>
    <font>
      <b/>
      <sz val="12"/>
      <color theme="1"/>
      <name val="Calibri"/>
      <family val="2"/>
      <scheme val="minor"/>
    </font>
    <font>
      <sz val="12"/>
      <color rgb="FF000000"/>
      <name val="Calibri"/>
      <family val="2"/>
    </font>
    <font>
      <sz val="12"/>
      <color rgb="FF000000"/>
      <name val="Calibri (Body)"/>
    </font>
    <font>
      <b/>
      <sz val="12"/>
      <color theme="1"/>
      <name val="Calibri (Body)"/>
    </font>
    <font>
      <b/>
      <sz val="11"/>
      <name val="Calibri"/>
      <family val="2"/>
    </font>
  </fonts>
  <fills count="11">
    <fill>
      <patternFill patternType="none"/>
    </fill>
    <fill>
      <patternFill patternType="gray125"/>
    </fill>
    <fill>
      <patternFill patternType="solid">
        <fgColor rgb="FFAEAEAE"/>
      </patternFill>
    </fill>
    <fill>
      <patternFill patternType="solid">
        <fgColor rgb="FFFFFFFF"/>
      </patternFill>
    </fill>
    <fill>
      <patternFill patternType="solid">
        <fgColor rgb="FFC2F1C8"/>
      </patternFill>
    </fill>
    <fill>
      <patternFill patternType="solid">
        <fgColor rgb="FFFF7E79"/>
      </patternFill>
    </fill>
    <fill>
      <patternFill patternType="solid">
        <fgColor rgb="FF0069C6"/>
      </patternFill>
    </fill>
    <fill>
      <patternFill patternType="solid">
        <fgColor rgb="FF83CBEB"/>
      </patternFill>
    </fill>
    <fill>
      <patternFill patternType="solid">
        <fgColor rgb="FFC1E5F5"/>
      </patternFill>
    </fill>
    <fill>
      <patternFill patternType="solid">
        <fgColor rgb="FFDCEAF7"/>
      </patternFill>
    </fill>
    <fill>
      <patternFill patternType="solid">
        <fgColor rgb="FFE8FDFF"/>
        <bgColor indexed="64"/>
      </patternFill>
    </fill>
  </fills>
  <borders count="2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style="thin">
        <color rgb="FFC6C6C6"/>
      </top>
      <bottom style="thin">
        <color rgb="FFC6C6C6"/>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right/>
      <top/>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style="thin">
        <color rgb="FF000000"/>
      </left>
      <right/>
      <top/>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0" fillId="0" borderId="0" xfId="0" applyAlignment="1">
      <alignment horizontal="left"/>
    </xf>
    <xf numFmtId="0" fontId="1" fillId="2" borderId="1" xfId="0" applyFont="1" applyFill="1" applyBorder="1" applyAlignment="1">
      <alignment horizontal="left"/>
    </xf>
    <xf numFmtId="0" fontId="2" fillId="0" borderId="1" xfId="0" applyFont="1" applyBorder="1" applyAlignment="1">
      <alignment horizontal="left"/>
    </xf>
    <xf numFmtId="0" fontId="2" fillId="3" borderId="1" xfId="0" applyFont="1" applyFill="1" applyBorder="1" applyAlignment="1">
      <alignment horizontal="left"/>
    </xf>
    <xf numFmtId="0" fontId="2" fillId="3" borderId="2" xfId="0" applyFont="1" applyFill="1" applyBorder="1" applyAlignment="1">
      <alignment horizontal="left"/>
    </xf>
    <xf numFmtId="0" fontId="2" fillId="4" borderId="1" xfId="0" applyFont="1" applyFill="1" applyBorder="1" applyAlignment="1">
      <alignment horizontal="left"/>
    </xf>
    <xf numFmtId="0" fontId="2" fillId="3" borderId="3" xfId="0" applyFont="1" applyFill="1" applyBorder="1" applyAlignment="1">
      <alignment horizontal="left"/>
    </xf>
    <xf numFmtId="0" fontId="3" fillId="3" borderId="1" xfId="0" applyFont="1" applyFill="1" applyBorder="1" applyAlignment="1">
      <alignment horizontal="left"/>
    </xf>
    <xf numFmtId="0" fontId="2" fillId="0" borderId="7" xfId="0" applyFont="1" applyBorder="1" applyAlignment="1">
      <alignment horizontal="left"/>
    </xf>
    <xf numFmtId="0" fontId="3" fillId="3" borderId="8" xfId="0" applyFont="1" applyFill="1" applyBorder="1" applyAlignment="1">
      <alignment horizontal="left"/>
    </xf>
    <xf numFmtId="0" fontId="2" fillId="3" borderId="8" xfId="0" applyFont="1" applyFill="1" applyBorder="1" applyAlignment="1">
      <alignment horizontal="left"/>
    </xf>
    <xf numFmtId="0" fontId="4" fillId="3" borderId="1" xfId="0" applyFont="1" applyFill="1" applyBorder="1" applyAlignment="1">
      <alignment horizontal="left"/>
    </xf>
    <xf numFmtId="0" fontId="2" fillId="5" borderId="1" xfId="0" applyFont="1" applyFill="1" applyBorder="1" applyAlignment="1">
      <alignment horizontal="left"/>
    </xf>
    <xf numFmtId="3" fontId="5" fillId="0" borderId="9" xfId="0" applyNumberFormat="1" applyFont="1" applyBorder="1" applyAlignment="1">
      <alignment horizontal="right"/>
    </xf>
    <xf numFmtId="0" fontId="5" fillId="0" borderId="9" xfId="0" applyFont="1" applyBorder="1" applyAlignment="1">
      <alignment horizontal="left"/>
    </xf>
    <xf numFmtId="0" fontId="5" fillId="0" borderId="9" xfId="0" applyFont="1" applyBorder="1" applyAlignment="1">
      <alignment horizontal="left" wrapText="1"/>
    </xf>
    <xf numFmtId="0" fontId="5" fillId="0" borderId="9" xfId="0" applyFont="1" applyBorder="1" applyAlignment="1">
      <alignment horizontal="center"/>
    </xf>
    <xf numFmtId="0" fontId="0" fillId="0" borderId="0" xfId="0" applyAlignment="1">
      <alignment wrapText="1"/>
    </xf>
    <xf numFmtId="3" fontId="2" fillId="0" borderId="1" xfId="0" applyNumberFormat="1" applyFont="1" applyBorder="1" applyAlignment="1">
      <alignment horizontal="right"/>
    </xf>
    <xf numFmtId="0" fontId="2" fillId="0" borderId="1" xfId="0" applyFont="1" applyBorder="1" applyAlignment="1">
      <alignment horizontal="left" wrapText="1"/>
    </xf>
    <xf numFmtId="0" fontId="2" fillId="0" borderId="1" xfId="0" applyFont="1" applyBorder="1" applyAlignment="1">
      <alignment horizontal="center"/>
    </xf>
    <xf numFmtId="3" fontId="0" fillId="0" borderId="0" xfId="0" applyNumberFormat="1" applyAlignment="1">
      <alignment horizontal="right"/>
    </xf>
    <xf numFmtId="0" fontId="0" fillId="0" borderId="0" xfId="0" applyAlignment="1">
      <alignment horizontal="left" wrapText="1"/>
    </xf>
    <xf numFmtId="0" fontId="0" fillId="0" borderId="0" xfId="0" applyAlignment="1">
      <alignment horizontal="center"/>
    </xf>
    <xf numFmtId="3" fontId="5" fillId="0" borderId="9" xfId="0" applyNumberFormat="1" applyFont="1" applyBorder="1" applyAlignment="1">
      <alignment horizontal="center"/>
    </xf>
    <xf numFmtId="0" fontId="5" fillId="0" borderId="9" xfId="0" applyFont="1" applyBorder="1" applyAlignment="1">
      <alignment horizontal="center" wrapText="1"/>
    </xf>
    <xf numFmtId="0" fontId="2" fillId="0" borderId="9" xfId="0" applyFont="1" applyBorder="1" applyAlignment="1">
      <alignment horizontal="center" wrapText="1"/>
    </xf>
    <xf numFmtId="3" fontId="3"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3" fontId="0" fillId="0" borderId="0" xfId="0" applyNumberFormat="1" applyAlignment="1">
      <alignment horizontal="center"/>
    </xf>
    <xf numFmtId="0" fontId="0" fillId="0" borderId="0" xfId="0" applyAlignment="1">
      <alignment horizontal="center" wrapText="1"/>
    </xf>
    <xf numFmtId="3" fontId="2" fillId="0" borderId="1" xfId="0" applyNumberFormat="1" applyFont="1" applyBorder="1" applyAlignment="1">
      <alignment horizontal="center"/>
    </xf>
    <xf numFmtId="3" fontId="5" fillId="0" borderId="9" xfId="0" applyNumberFormat="1" applyFont="1" applyBorder="1" applyAlignment="1">
      <alignment horizontal="right" wrapText="1"/>
    </xf>
    <xf numFmtId="3" fontId="2" fillId="0" borderId="1" xfId="0" applyNumberFormat="1" applyFont="1" applyBorder="1" applyAlignment="1">
      <alignment horizontal="right" wrapText="1"/>
    </xf>
    <xf numFmtId="3" fontId="0" fillId="0" borderId="0" xfId="0" applyNumberFormat="1" applyAlignment="1">
      <alignment horizontal="right" wrapText="1"/>
    </xf>
    <xf numFmtId="0" fontId="2" fillId="0" borderId="1" xfId="0" quotePrefix="1" applyFont="1" applyBorder="1" applyAlignment="1">
      <alignment horizontal="left"/>
    </xf>
    <xf numFmtId="0" fontId="2" fillId="0" borderId="1" xfId="0" quotePrefix="1" applyFont="1" applyBorder="1" applyAlignment="1">
      <alignment horizontal="left" wrapText="1"/>
    </xf>
    <xf numFmtId="0" fontId="2" fillId="0" borderId="1" xfId="0" quotePrefix="1" applyFont="1" applyBorder="1" applyAlignment="1">
      <alignment horizontal="center"/>
    </xf>
    <xf numFmtId="3" fontId="0" fillId="0" borderId="0" xfId="0" applyNumberFormat="1"/>
    <xf numFmtId="3" fontId="7" fillId="7" borderId="1" xfId="0" applyNumberFormat="1" applyFont="1" applyFill="1" applyBorder="1" applyAlignment="1">
      <alignment horizontal="center"/>
    </xf>
    <xf numFmtId="3" fontId="7" fillId="8" borderId="1" xfId="0" applyNumberFormat="1" applyFont="1" applyFill="1" applyBorder="1" applyAlignment="1">
      <alignment horizontal="center"/>
    </xf>
    <xf numFmtId="3" fontId="2" fillId="0" borderId="9" xfId="0" applyNumberFormat="1" applyFont="1" applyBorder="1" applyAlignment="1">
      <alignment horizontal="center"/>
    </xf>
    <xf numFmtId="3" fontId="7" fillId="0" borderId="4" xfId="0" applyNumberFormat="1" applyFont="1" applyBorder="1" applyAlignment="1">
      <alignment horizontal="center" vertical="center" wrapText="1"/>
    </xf>
    <xf numFmtId="0" fontId="7" fillId="0" borderId="4" xfId="0" applyFont="1" applyBorder="1" applyAlignment="1">
      <alignment horizontal="center" vertical="center" wrapText="1"/>
    </xf>
    <xf numFmtId="3" fontId="7" fillId="0" borderId="1" xfId="0" applyNumberFormat="1" applyFont="1" applyBorder="1" applyAlignment="1">
      <alignment horizontal="center" vertical="center"/>
    </xf>
    <xf numFmtId="3" fontId="13" fillId="9" borderId="11" xfId="1" applyNumberFormat="1" applyFont="1" applyFill="1" applyBorder="1" applyAlignment="1">
      <alignment horizontal="center"/>
    </xf>
    <xf numFmtId="3" fontId="13" fillId="10" borderId="1" xfId="1" applyNumberFormat="1" applyFont="1" applyFill="1" applyBorder="1" applyAlignment="1">
      <alignment horizontal="center"/>
    </xf>
    <xf numFmtId="0" fontId="14" fillId="0" borderId="4" xfId="0" applyFont="1" applyBorder="1" applyAlignment="1">
      <alignment horizontal="left" vertical="center"/>
    </xf>
    <xf numFmtId="3" fontId="13" fillId="0" borderId="1" xfId="1" applyNumberFormat="1" applyFont="1" applyBorder="1" applyAlignment="1">
      <alignment horizontal="center"/>
    </xf>
    <xf numFmtId="3" fontId="13" fillId="0" borderId="17" xfId="1" applyNumberFormat="1" applyFont="1" applyBorder="1" applyAlignment="1">
      <alignment horizontal="center"/>
    </xf>
    <xf numFmtId="3" fontId="13" fillId="8" borderId="1" xfId="1" applyNumberFormat="1" applyFont="1" applyFill="1" applyBorder="1" applyAlignment="1">
      <alignment horizontal="center"/>
    </xf>
    <xf numFmtId="3" fontId="17" fillId="0" borderId="1" xfId="0" applyNumberFormat="1" applyFont="1" applyBorder="1" applyAlignment="1">
      <alignment horizontal="center" vertical="center" wrapText="1"/>
    </xf>
    <xf numFmtId="0" fontId="17" fillId="0" borderId="1" xfId="0" applyFont="1" applyBorder="1" applyAlignment="1">
      <alignment horizontal="center" vertical="center" wrapText="1"/>
    </xf>
    <xf numFmtId="0" fontId="17" fillId="0" borderId="1" xfId="0" applyFont="1" applyBorder="1" applyAlignment="1">
      <alignment horizontal="center" vertical="center"/>
    </xf>
    <xf numFmtId="0" fontId="0" fillId="0" borderId="0" xfId="0" pivotButton="1"/>
    <xf numFmtId="0" fontId="14" fillId="10" borderId="15" xfId="0" applyFont="1" applyFill="1" applyBorder="1" applyAlignment="1">
      <alignment horizontal="left" vertical="center"/>
    </xf>
    <xf numFmtId="0" fontId="14" fillId="10" borderId="17" xfId="0" applyFont="1" applyFill="1" applyBorder="1" applyAlignment="1">
      <alignment horizontal="left" vertical="center"/>
    </xf>
    <xf numFmtId="0" fontId="16" fillId="0" borderId="15" xfId="1" applyFont="1" applyBorder="1" applyAlignment="1">
      <alignment horizontal="center"/>
    </xf>
    <xf numFmtId="0" fontId="16" fillId="0" borderId="17" xfId="1" applyFont="1" applyBorder="1" applyAlignment="1">
      <alignment horizontal="center"/>
    </xf>
    <xf numFmtId="0" fontId="16" fillId="0" borderId="15" xfId="1" quotePrefix="1" applyFont="1" applyBorder="1" applyAlignment="1">
      <alignment horizontal="center"/>
    </xf>
    <xf numFmtId="0" fontId="6" fillId="6" borderId="15" xfId="0" applyFont="1" applyFill="1" applyBorder="1" applyAlignment="1">
      <alignment horizontal="center" vertical="center" wrapText="1"/>
    </xf>
    <xf numFmtId="0" fontId="6" fillId="6" borderId="16" xfId="0" applyFont="1" applyFill="1" applyBorder="1" applyAlignment="1">
      <alignment horizontal="center" vertical="center" wrapText="1"/>
    </xf>
    <xf numFmtId="0" fontId="6" fillId="6" borderId="17" xfId="0" applyFont="1" applyFill="1" applyBorder="1" applyAlignment="1">
      <alignment horizontal="center" vertical="center" wrapText="1"/>
    </xf>
    <xf numFmtId="0" fontId="15" fillId="0" borderId="15" xfId="0" applyFont="1" applyBorder="1" applyAlignment="1">
      <alignment horizontal="center" vertical="center"/>
    </xf>
    <xf numFmtId="0" fontId="15" fillId="0" borderId="16" xfId="0" applyFont="1" applyBorder="1" applyAlignment="1">
      <alignment horizontal="center" vertical="center"/>
    </xf>
    <xf numFmtId="0" fontId="15" fillId="0" borderId="17" xfId="0" applyFont="1" applyBorder="1" applyAlignment="1">
      <alignment horizontal="center" vertical="center"/>
    </xf>
    <xf numFmtId="0" fontId="6" fillId="6" borderId="1" xfId="0" applyFont="1" applyFill="1" applyBorder="1" applyAlignment="1">
      <alignment horizontal="center" vertical="center" wrapText="1"/>
    </xf>
    <xf numFmtId="3" fontId="6" fillId="6" borderId="1" xfId="0" applyNumberFormat="1" applyFont="1" applyFill="1" applyBorder="1" applyAlignment="1">
      <alignment horizontal="center" vertical="center" wrapText="1"/>
    </xf>
    <xf numFmtId="0" fontId="14" fillId="0" borderId="12" xfId="0" applyFont="1" applyBorder="1" applyAlignment="1">
      <alignment horizontal="center" vertical="center"/>
    </xf>
    <xf numFmtId="0" fontId="14" fillId="0" borderId="13" xfId="0" applyFont="1" applyBorder="1" applyAlignment="1">
      <alignment horizontal="center" vertical="center"/>
    </xf>
    <xf numFmtId="0" fontId="14" fillId="0" borderId="14" xfId="0" applyFont="1" applyBorder="1" applyAlignment="1">
      <alignment horizontal="center" vertical="center"/>
    </xf>
    <xf numFmtId="0" fontId="14" fillId="0" borderId="4" xfId="0" applyFont="1" applyBorder="1" applyAlignment="1">
      <alignment horizontal="center" vertical="center"/>
    </xf>
    <xf numFmtId="0" fontId="14" fillId="0" borderId="5" xfId="0" applyFont="1" applyBorder="1" applyAlignment="1">
      <alignment horizontal="center" vertical="center"/>
    </xf>
    <xf numFmtId="0" fontId="14" fillId="0" borderId="7" xfId="0" applyFont="1" applyBorder="1" applyAlignment="1">
      <alignment horizontal="center" vertical="center"/>
    </xf>
    <xf numFmtId="0" fontId="7" fillId="0" borderId="4" xfId="0" applyFont="1" applyBorder="1" applyAlignment="1">
      <alignment horizontal="center" vertical="center"/>
    </xf>
    <xf numFmtId="0" fontId="7" fillId="0" borderId="7" xfId="0" applyFont="1" applyBorder="1" applyAlignment="1">
      <alignment horizontal="center" vertical="center"/>
    </xf>
    <xf numFmtId="0" fontId="7" fillId="8" borderId="15" xfId="0" applyFont="1" applyFill="1" applyBorder="1" applyAlignment="1">
      <alignment horizontal="center" vertical="center"/>
    </xf>
    <xf numFmtId="0" fontId="7" fillId="8" borderId="16" xfId="0" applyFont="1" applyFill="1" applyBorder="1" applyAlignment="1">
      <alignment horizontal="center" vertical="center"/>
    </xf>
    <xf numFmtId="0" fontId="7" fillId="8" borderId="17" xfId="0" applyFont="1" applyFill="1" applyBorder="1" applyAlignment="1">
      <alignment horizontal="center" vertical="center"/>
    </xf>
    <xf numFmtId="0" fontId="7" fillId="3" borderId="19" xfId="0" applyFont="1" applyFill="1" applyBorder="1" applyAlignment="1">
      <alignment horizontal="center" vertical="center"/>
    </xf>
    <xf numFmtId="0" fontId="7" fillId="3" borderId="20" xfId="0" applyFont="1" applyFill="1" applyBorder="1" applyAlignment="1">
      <alignment horizontal="center" vertical="center"/>
    </xf>
    <xf numFmtId="0" fontId="7" fillId="3" borderId="18" xfId="0" applyFont="1" applyFill="1" applyBorder="1" applyAlignment="1">
      <alignment horizontal="center" vertical="center"/>
    </xf>
    <xf numFmtId="0" fontId="7" fillId="9" borderId="15" xfId="0" applyFont="1" applyFill="1" applyBorder="1" applyAlignment="1">
      <alignment horizontal="left" vertical="center"/>
    </xf>
    <xf numFmtId="0" fontId="7" fillId="9" borderId="16" xfId="0" applyFont="1" applyFill="1" applyBorder="1" applyAlignment="1">
      <alignment horizontal="left" vertical="center"/>
    </xf>
    <xf numFmtId="0" fontId="7" fillId="9" borderId="17" xfId="0" applyFont="1" applyFill="1" applyBorder="1" applyAlignment="1">
      <alignment horizontal="left" vertical="center"/>
    </xf>
    <xf numFmtId="0" fontId="14" fillId="0" borderId="15" xfId="0" applyFont="1" applyBorder="1" applyAlignment="1">
      <alignment horizontal="left" vertical="center"/>
    </xf>
    <xf numFmtId="0" fontId="14" fillId="0" borderId="17" xfId="0" applyFont="1" applyBorder="1" applyAlignment="1">
      <alignment horizontal="left" vertical="center"/>
    </xf>
    <xf numFmtId="0" fontId="7" fillId="7" borderId="15" xfId="0" applyFont="1" applyFill="1" applyBorder="1" applyAlignment="1">
      <alignment horizontal="center" vertical="center"/>
    </xf>
    <xf numFmtId="0" fontId="7" fillId="7" borderId="16" xfId="0" applyFont="1" applyFill="1" applyBorder="1" applyAlignment="1">
      <alignment horizontal="center" vertical="center"/>
    </xf>
    <xf numFmtId="0" fontId="7" fillId="7" borderId="17" xfId="0" applyFont="1" applyFill="1" applyBorder="1" applyAlignment="1">
      <alignment horizontal="center" vertical="center"/>
    </xf>
    <xf numFmtId="3" fontId="6" fillId="6" borderId="3" xfId="0" applyNumberFormat="1" applyFont="1" applyFill="1" applyBorder="1" applyAlignment="1">
      <alignment horizontal="center" vertical="center" wrapText="1"/>
    </xf>
    <xf numFmtId="0" fontId="6" fillId="6" borderId="3" xfId="0" applyFont="1" applyFill="1" applyBorder="1" applyAlignment="1">
      <alignment horizontal="center" vertical="center" wrapText="1"/>
    </xf>
    <xf numFmtId="3" fontId="7" fillId="0" borderId="4" xfId="0" applyNumberFormat="1" applyFont="1" applyBorder="1" applyAlignment="1">
      <alignment horizontal="center" vertical="center" wrapText="1"/>
    </xf>
    <xf numFmtId="3" fontId="7" fillId="0" borderId="7" xfId="0" applyNumberFormat="1" applyFont="1" applyBorder="1" applyAlignment="1">
      <alignment horizontal="center" vertical="center" wrapText="1"/>
    </xf>
    <xf numFmtId="0" fontId="7" fillId="0" borderId="4" xfId="0" applyFont="1" applyBorder="1" applyAlignment="1">
      <alignment horizontal="center" vertical="center" wrapText="1"/>
    </xf>
    <xf numFmtId="0" fontId="7" fillId="0" borderId="7" xfId="0" applyFont="1" applyBorder="1" applyAlignment="1">
      <alignment horizontal="center" vertical="center" wrapText="1"/>
    </xf>
    <xf numFmtId="3" fontId="7" fillId="0" borderId="1" xfId="0" applyNumberFormat="1" applyFont="1" applyBorder="1" applyAlignment="1">
      <alignment horizontal="center" vertical="center" wrapText="1"/>
    </xf>
    <xf numFmtId="3" fontId="6" fillId="6" borderId="10" xfId="0" applyNumberFormat="1" applyFont="1" applyFill="1" applyBorder="1" applyAlignment="1">
      <alignment horizontal="center" vertical="center" wrapText="1"/>
    </xf>
    <xf numFmtId="0" fontId="6" fillId="6" borderId="10" xfId="0" applyFont="1" applyFill="1" applyBorder="1" applyAlignment="1">
      <alignment horizontal="center" vertical="center" wrapText="1"/>
    </xf>
    <xf numFmtId="3" fontId="7" fillId="0" borderId="1" xfId="0" applyNumberFormat="1" applyFont="1" applyBorder="1" applyAlignment="1">
      <alignment horizontal="center" vertical="center"/>
    </xf>
    <xf numFmtId="0" fontId="7" fillId="0" borderId="1" xfId="0" applyFont="1" applyBorder="1" applyAlignment="1">
      <alignment horizontal="left" vertical="center"/>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2" fillId="0" borderId="4" xfId="0" applyFont="1" applyBorder="1" applyAlignment="1">
      <alignment horizontal="left" vertical="top"/>
    </xf>
    <xf numFmtId="0" fontId="2" fillId="0" borderId="5" xfId="0" applyFont="1" applyBorder="1" applyAlignment="1">
      <alignment horizontal="left"/>
    </xf>
    <xf numFmtId="0" fontId="2" fillId="0" borderId="7" xfId="0" applyFont="1" applyBorder="1" applyAlignment="1">
      <alignment horizontal="left"/>
    </xf>
    <xf numFmtId="0" fontId="2" fillId="3" borderId="2" xfId="0" applyFont="1" applyFill="1" applyBorder="1" applyAlignment="1">
      <alignment horizontal="left" vertical="top"/>
    </xf>
    <xf numFmtId="14" fontId="2" fillId="3" borderId="6" xfId="0" applyNumberFormat="1" applyFont="1" applyFill="1" applyBorder="1" applyAlignment="1">
      <alignment horizontal="left"/>
    </xf>
    <xf numFmtId="14" fontId="2" fillId="3" borderId="8" xfId="0" applyNumberFormat="1" applyFont="1" applyFill="1" applyBorder="1" applyAlignment="1">
      <alignment horizontal="left"/>
    </xf>
    <xf numFmtId="0" fontId="2" fillId="4" borderId="2" xfId="0" applyFont="1" applyFill="1" applyBorder="1" applyAlignment="1">
      <alignment horizontal="left" vertical="top"/>
    </xf>
    <xf numFmtId="0" fontId="2" fillId="4" borderId="6" xfId="0" applyFont="1" applyFill="1" applyBorder="1" applyAlignment="1">
      <alignment horizontal="left"/>
    </xf>
    <xf numFmtId="0" fontId="2" fillId="4" borderId="8" xfId="0" applyFont="1" applyFill="1" applyBorder="1" applyAlignment="1">
      <alignment horizontal="left"/>
    </xf>
  </cellXfs>
  <cellStyles count="2">
    <cellStyle name="Hyperlink" xfId="1" builtinId="8"/>
    <cellStyle name="Normal" xfId="0" builtinId="0"/>
  </cellStyles>
  <dxfs count="0"/>
  <tableStyles count="0" defaultTableStyle="TableStyleMedium9" defaultPivotStyle="PivotStyleLight16"/>
  <colors>
    <mruColors>
      <color rgb="FFE8FDFF"/>
      <color rgb="FFADD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Arellano" refreshedDate="46008.610441550925" createdVersion="8" refreshedVersion="8" minRefreshableVersion="3" recordCount="2" xr:uid="{74DEB354-E178-9942-86C6-D9C6DB3B4B64}">
  <cacheSource type="worksheet">
    <worksheetSource ref="A4:E1048576" sheet="Inventario Identificados"/>
  </cacheSource>
  <cacheFields count="5">
    <cacheField name="Adaptadores" numFmtId="3">
      <sharedItems containsString="0" containsBlank="1" containsNumber="1" containsInteger="1" minValue="1" maxValue="1"/>
    </cacheField>
    <cacheField name="IPs" numFmtId="0">
      <sharedItems containsBlank="1"/>
    </cacheField>
    <cacheField name="MACs" numFmtId="0">
      <sharedItems containsBlank="1"/>
    </cacheField>
    <cacheField name="Manufacturer" numFmtId="0">
      <sharedItems containsBlank="1"/>
    </cacheField>
    <cacheField name="Clasificacion" numFmtId="0">
      <sharedItems containsBlank="1" count="2">
        <s v="Windows 10"/>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Arellano" refreshedDate="46008.613557291668" createdVersion="8" refreshedVersion="8" minRefreshableVersion="3" recordCount="2" xr:uid="{833D5FB0-8697-5E4B-8135-AAEDADA852DA}">
  <cacheSource type="worksheet">
    <worksheetSource ref="A4:E1048576" sheet="Inventario No Identificados"/>
  </cacheSource>
  <cacheFields count="5">
    <cacheField name="Adaptadores" numFmtId="3">
      <sharedItems containsString="0" containsBlank="1" containsNumber="1" containsInteger="1" minValue="1" maxValue="1"/>
    </cacheField>
    <cacheField name="IPs" numFmtId="0">
      <sharedItems containsBlank="1"/>
    </cacheField>
    <cacheField name="MACs" numFmtId="0">
      <sharedItems containsBlank="1"/>
    </cacheField>
    <cacheField name="Manufacturer" numFmtId="0">
      <sharedItems containsBlank="1"/>
    </cacheField>
    <cacheField name="Clasificacion" numFmtId="0">
      <sharedItems containsBlank="1" count="2">
        <s v="Windows 10"/>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n v="1"/>
    <s v="SVVUW0106S3MXCO"/>
    <s v="10.188.60.195"/>
    <s v="00:90:FB:63:B2:84"/>
    <x v="0"/>
  </r>
  <r>
    <m/>
    <m/>
    <m/>
    <m/>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n v="1"/>
    <s v="SVVUW0106S3MXCO"/>
    <s v="10.188.60.195"/>
    <s v="00:90:FB:63:B2:84"/>
    <x v="0"/>
  </r>
  <r>
    <m/>
    <m/>
    <m/>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F87A7E-D022-2E4A-8DDE-C4E01F9C3F96}" name="PivotTable1" cacheId="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5" firstHeaderRow="1" firstDataRow="1" firstDataCol="1"/>
  <pivotFields count="5">
    <pivotField showAll="0"/>
    <pivotField showAll="0"/>
    <pivotField showAll="0"/>
    <pivotField showAll="0"/>
    <pivotField axis="axisRow" dataField="1" showAll="0">
      <items count="3">
        <item x="0"/>
        <item x="1"/>
        <item t="default"/>
      </items>
    </pivotField>
  </pivotFields>
  <rowFields count="1">
    <field x="4"/>
  </rowFields>
  <rowItems count="3">
    <i>
      <x/>
    </i>
    <i>
      <x v="1"/>
    </i>
    <i t="grand">
      <x/>
    </i>
  </rowItems>
  <colItems count="1">
    <i/>
  </colItems>
  <dataFields count="1">
    <dataField name="Count of Clasificacion"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C88826-A921-F241-A7D7-09240D889B29}" name="PivotTable2" cacheId="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5" firstHeaderRow="1" firstDataRow="1" firstDataCol="1"/>
  <pivotFields count="5">
    <pivotField showAll="0"/>
    <pivotField showAll="0"/>
    <pivotField showAll="0"/>
    <pivotField showAll="0"/>
    <pivotField axis="axisRow" dataField="1" showAll="0">
      <items count="3">
        <item x="0"/>
        <item x="1"/>
        <item t="default"/>
      </items>
    </pivotField>
  </pivotFields>
  <rowFields count="1">
    <field x="4"/>
  </rowFields>
  <rowItems count="3">
    <i>
      <x/>
    </i>
    <i>
      <x v="1"/>
    </i>
    <i t="grand">
      <x/>
    </i>
  </rowItems>
  <colItems count="1">
    <i/>
  </colItems>
  <dataFields count="1">
    <dataField name="Count of Clasificacion"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heetPr>
  <dimension ref="A1:F22"/>
  <sheetViews>
    <sheetView tabSelected="1" zoomScale="180" zoomScaleNormal="180" workbookViewId="0"/>
  </sheetViews>
  <sheetFormatPr baseColWidth="10" defaultColWidth="8.83203125" defaultRowHeight="15"/>
  <cols>
    <col min="1" max="3" width="12.5" style="24" bestFit="1" customWidth="1"/>
    <col min="4" max="4" width="11.1640625" style="24" customWidth="1"/>
    <col min="5" max="5" width="17.5" style="24" customWidth="1"/>
    <col min="6" max="6" width="10.1640625" style="31" customWidth="1"/>
  </cols>
  <sheetData>
    <row r="1" spans="1:6" ht="17.25" customHeight="1">
      <c r="A1" s="17"/>
      <c r="B1" s="17"/>
      <c r="C1" s="17"/>
      <c r="D1" s="17"/>
      <c r="E1" s="17"/>
      <c r="F1" s="25"/>
    </row>
    <row r="2" spans="1:6" s="18" customFormat="1" ht="24">
      <c r="A2" s="68"/>
      <c r="B2" s="68"/>
      <c r="C2" s="68"/>
      <c r="D2" s="68"/>
      <c r="E2" s="68"/>
      <c r="F2" s="69"/>
    </row>
    <row r="3" spans="1:6" ht="17.25" customHeight="1">
      <c r="A3" s="89" t="s">
        <v>123</v>
      </c>
      <c r="B3" s="90"/>
      <c r="C3" s="90"/>
      <c r="D3" s="90"/>
      <c r="E3" s="91"/>
      <c r="F3" s="41">
        <v>7507</v>
      </c>
    </row>
    <row r="4" spans="1:6" ht="17.25" customHeight="1">
      <c r="A4" s="70"/>
      <c r="B4" s="78" t="s">
        <v>124</v>
      </c>
      <c r="C4" s="79"/>
      <c r="D4" s="79"/>
      <c r="E4" s="80"/>
      <c r="F4" s="42">
        <f>F5+F10+F13+F14</f>
        <v>3729</v>
      </c>
    </row>
    <row r="5" spans="1:6" ht="17.25" customHeight="1">
      <c r="A5" s="71"/>
      <c r="B5" s="73"/>
      <c r="C5" s="84" t="s">
        <v>125</v>
      </c>
      <c r="D5" s="85"/>
      <c r="E5" s="86"/>
      <c r="F5" s="47">
        <f>COUNTA(Inventario!B6:B1048576)</f>
        <v>0</v>
      </c>
    </row>
    <row r="6" spans="1:6" ht="17.25" customHeight="1">
      <c r="A6" s="71"/>
      <c r="B6" s="74"/>
      <c r="C6" s="81"/>
      <c r="D6" s="57" t="s">
        <v>126</v>
      </c>
      <c r="E6" s="58"/>
      <c r="F6" s="48">
        <v>1</v>
      </c>
    </row>
    <row r="7" spans="1:6" ht="17.25" customHeight="1">
      <c r="A7" s="71"/>
      <c r="B7" s="74"/>
      <c r="C7" s="82"/>
      <c r="D7" s="57" t="s">
        <v>138</v>
      </c>
      <c r="E7" s="58"/>
      <c r="F7" s="48">
        <v>1</v>
      </c>
    </row>
    <row r="8" spans="1:6" ht="17.25" customHeight="1">
      <c r="A8" s="71"/>
      <c r="B8" s="74"/>
      <c r="C8" s="82"/>
      <c r="D8" s="73"/>
      <c r="E8" s="49" t="s">
        <v>139</v>
      </c>
      <c r="F8" s="50">
        <f>F7-F9</f>
        <v>1</v>
      </c>
    </row>
    <row r="9" spans="1:6" ht="17.25" customHeight="1">
      <c r="A9" s="71"/>
      <c r="B9" s="74"/>
      <c r="C9" s="83"/>
      <c r="D9" s="75"/>
      <c r="E9" s="49" t="s">
        <v>140</v>
      </c>
      <c r="F9" s="51" cm="1">
        <f t="array" ref="F9">SUM(COUNTIFS(Inventario!E6:E1048576, {"Oracle Solaris","Windows Server 2008 R2","Windows Server 2003 R2","SunOS 10","SunOS 11.1","SunOS 11.2","SunOS 11.3","IBM AIX 6.1","IBM AIX 7.1","IBM AIX 7.2","IBM AIX 5.3","SunOS 9","SunOS 11.4.23.69.3","SunOS 11.0","SunOS 11.4","SunOS 11.4.0.15.0"}, Inventario!F6:F1048576, "NO"))</f>
        <v>0</v>
      </c>
    </row>
    <row r="10" spans="1:6" ht="17.25" customHeight="1">
      <c r="A10" s="71"/>
      <c r="B10" s="74"/>
      <c r="C10" s="84" t="s">
        <v>127</v>
      </c>
      <c r="D10" s="85"/>
      <c r="E10" s="86"/>
      <c r="F10" s="47">
        <f>COUNTA('Inventario - PC'!B6:B1048576)</f>
        <v>1</v>
      </c>
    </row>
    <row r="11" spans="1:6" ht="17.25" customHeight="1">
      <c r="A11" s="71"/>
      <c r="B11" s="74"/>
      <c r="C11" s="76"/>
      <c r="D11" s="87" t="s">
        <v>128</v>
      </c>
      <c r="E11" s="88"/>
      <c r="F11" s="50">
        <f>COUNTIF('Inventario - PC'!F6:F1048576,"SI")</f>
        <v>0</v>
      </c>
    </row>
    <row r="12" spans="1:6" ht="17.25" customHeight="1">
      <c r="A12" s="71"/>
      <c r="B12" s="74"/>
      <c r="C12" s="77"/>
      <c r="D12" s="87" t="s">
        <v>129</v>
      </c>
      <c r="E12" s="88"/>
      <c r="F12" s="50">
        <f>COUNTIF('Inventario - PC'!F6:F1048576,"no")</f>
        <v>0</v>
      </c>
    </row>
    <row r="13" spans="1:6" ht="17.25" customHeight="1">
      <c r="A13" s="71"/>
      <c r="B13" s="74"/>
      <c r="C13" s="84" t="s">
        <v>130</v>
      </c>
      <c r="D13" s="85"/>
      <c r="E13" s="86"/>
      <c r="F13" s="47">
        <v>3726</v>
      </c>
    </row>
    <row r="14" spans="1:6" ht="17.25" customHeight="1">
      <c r="A14" s="71"/>
      <c r="B14" s="75"/>
      <c r="C14" s="84" t="s">
        <v>131</v>
      </c>
      <c r="D14" s="85"/>
      <c r="E14" s="86"/>
      <c r="F14" s="47">
        <f>COUNTA('Inventario Identificados'!A5:A1048576)</f>
        <v>2</v>
      </c>
    </row>
    <row r="15" spans="1:6" ht="17.25" customHeight="1">
      <c r="A15" s="71"/>
      <c r="B15" s="78" t="s">
        <v>132</v>
      </c>
      <c r="C15" s="79"/>
      <c r="D15" s="79"/>
      <c r="E15" s="80"/>
      <c r="F15" s="52">
        <f>COUNTA('Inventario No Identificados'!A5:A1048576)</f>
        <v>1</v>
      </c>
    </row>
    <row r="16" spans="1:6" ht="17.25" customHeight="1">
      <c r="A16" s="72"/>
      <c r="B16" s="78" t="s">
        <v>133</v>
      </c>
      <c r="C16" s="79"/>
      <c r="D16" s="79"/>
      <c r="E16" s="80"/>
      <c r="F16" s="42">
        <f>F3-F4-F15</f>
        <v>3777</v>
      </c>
    </row>
    <row r="17" spans="1:6" ht="17.25" customHeight="1">
      <c r="A17" s="17"/>
      <c r="B17" s="17"/>
      <c r="C17" s="17"/>
      <c r="D17" s="17"/>
      <c r="E17" s="17"/>
      <c r="F17" s="43"/>
    </row>
    <row r="18" spans="1:6" ht="17.25" customHeight="1">
      <c r="A18" s="17"/>
      <c r="B18" s="17"/>
      <c r="C18" s="17"/>
      <c r="D18" s="17"/>
      <c r="E18" s="17"/>
      <c r="F18" s="43"/>
    </row>
    <row r="19" spans="1:6" s="18" customFormat="1" ht="24">
      <c r="A19" s="62" t="s">
        <v>134</v>
      </c>
      <c r="B19" s="63"/>
      <c r="C19" s="63"/>
      <c r="D19" s="63"/>
      <c r="E19" s="63"/>
      <c r="F19" s="64"/>
    </row>
    <row r="20" spans="1:6" ht="17.25" customHeight="1">
      <c r="A20" s="65" t="s">
        <v>135</v>
      </c>
      <c r="B20" s="66"/>
      <c r="C20" s="66"/>
      <c r="D20" s="67"/>
      <c r="E20" s="59" t="s">
        <v>141</v>
      </c>
      <c r="F20" s="60"/>
    </row>
    <row r="21" spans="1:6" ht="17.25" customHeight="1">
      <c r="A21" s="65" t="s">
        <v>136</v>
      </c>
      <c r="B21" s="66"/>
      <c r="C21" s="66"/>
      <c r="D21" s="67"/>
      <c r="E21" s="59" t="s">
        <v>141</v>
      </c>
      <c r="F21" s="60"/>
    </row>
    <row r="22" spans="1:6" ht="17.25" customHeight="1">
      <c r="A22" s="65" t="s">
        <v>137</v>
      </c>
      <c r="B22" s="66"/>
      <c r="C22" s="66"/>
      <c r="D22" s="67"/>
      <c r="E22" s="61" t="s">
        <v>142</v>
      </c>
      <c r="F22" s="60"/>
    </row>
  </sheetData>
  <mergeCells count="25">
    <mergeCell ref="A2:F2"/>
    <mergeCell ref="A4:A16"/>
    <mergeCell ref="B5:B14"/>
    <mergeCell ref="C11:C12"/>
    <mergeCell ref="B15:E15"/>
    <mergeCell ref="B16:E16"/>
    <mergeCell ref="C6:C9"/>
    <mergeCell ref="D8:D9"/>
    <mergeCell ref="C10:E10"/>
    <mergeCell ref="D11:E11"/>
    <mergeCell ref="D12:E12"/>
    <mergeCell ref="C13:E13"/>
    <mergeCell ref="C14:E14"/>
    <mergeCell ref="A3:E3"/>
    <mergeCell ref="B4:E4"/>
    <mergeCell ref="C5:E5"/>
    <mergeCell ref="D6:E6"/>
    <mergeCell ref="D7:E7"/>
    <mergeCell ref="E20:F20"/>
    <mergeCell ref="E21:F21"/>
    <mergeCell ref="E22:F22"/>
    <mergeCell ref="A19:F19"/>
    <mergeCell ref="A20:D20"/>
    <mergeCell ref="A21:D21"/>
    <mergeCell ref="A22:D22"/>
  </mergeCells>
  <hyperlinks>
    <hyperlink ref="F5" location="Inventario!A1" display="Inventario!A1" xr:uid="{B80F5769-9041-D946-A663-3C05C393B9EF}"/>
    <hyperlink ref="F6" location="Inventario!A1" display="Inventario!A1" xr:uid="{69B0F5A8-E68F-824F-8CB5-EFE7559A45E9}"/>
    <hyperlink ref="F7" location="Inventario!A1" display="Inventario!A1" xr:uid="{E81BACE7-9366-D743-AF4A-3B5806D55D77}"/>
    <hyperlink ref="F8" location="Inventario!A1" display="Inventario!A1" xr:uid="{65471080-EFE7-8C45-9778-722A2421E422}"/>
    <hyperlink ref="F9" location="Inventario!A1" display="Inventario!A1" xr:uid="{EA722588-C3C0-0841-87A6-4760989CEE90}"/>
    <hyperlink ref="F10" location="'Inventario - PC'!A1" display="'Inventario - PC'!A1" xr:uid="{AA218004-4D5D-1C4C-8085-8C7EDC4A01F3}"/>
    <hyperlink ref="F11" location="'Inventario - PC'!A1" display="'Inventario - PC'!A1" xr:uid="{36E6024B-CE81-7249-8661-E77BB1AD970E}"/>
    <hyperlink ref="F12" location="'Inventario - PC'!A1" display="'Inventario - PC'!A1" xr:uid="{4FDA5B2F-F7CD-5441-BDF5-78C0D2408486}"/>
    <hyperlink ref="F13" location="'Inventario - Red'!A1" display="'Inventario - Red'!A1" xr:uid="{BC6C239C-669F-FA4C-BFAC-C4DE92349C05}"/>
    <hyperlink ref="F14" location="'Identificados (OTROS)'!A1" display="'Identificados (OTROS)'!A1" xr:uid="{20630F12-D116-9C46-9B89-811CAB1161B2}"/>
    <hyperlink ref="F15" location="'No Identificados'!A1" display="'No Identificados'!A1" xr:uid="{4F929CA8-68E9-EB47-BDE7-B18ACAE26014}"/>
    <hyperlink ref="E20:F20" location="Inventario!A1" display="Inventario!A1" xr:uid="{93C08429-B45E-744B-A3A2-BB644DC39D5E}"/>
    <hyperlink ref="E21:F21" location="Inventario!A1" display="Inventario!A1" xr:uid="{6ABC81A9-E454-2749-A6AF-6120CB62E944}"/>
    <hyperlink ref="E22:F22" location="'Inventario - EOL'!A1" display="'Inventario - EOL'!A1" xr:uid="{D751C988-B621-254D-9773-7C700F810AB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heetPr>
  <dimension ref="A1:G2262"/>
  <sheetViews>
    <sheetView zoomScale="130" zoomScaleNormal="130" workbookViewId="0"/>
  </sheetViews>
  <sheetFormatPr baseColWidth="10" defaultColWidth="8.83203125" defaultRowHeight="15"/>
  <cols>
    <col min="1" max="1" width="5.1640625" style="40" bestFit="1" customWidth="1"/>
    <col min="2" max="2" width="51" bestFit="1" customWidth="1"/>
    <col min="3" max="3" width="13.83203125" style="18" bestFit="1" customWidth="1"/>
    <col min="4" max="4" width="24.83203125" style="18" bestFit="1" customWidth="1"/>
    <col min="5" max="5" width="16.5" bestFit="1" customWidth="1"/>
    <col min="6" max="7" width="10.83203125" bestFit="1" customWidth="1"/>
  </cols>
  <sheetData>
    <row r="1" spans="1:7" ht="17.25" customHeight="1">
      <c r="A1" s="14"/>
      <c r="C1" s="16"/>
      <c r="D1" s="16"/>
    </row>
    <row r="2" spans="1:7" ht="17.25" customHeight="1">
      <c r="A2" s="14"/>
      <c r="C2" s="16"/>
      <c r="D2" s="16"/>
    </row>
    <row r="3" spans="1:7" s="18" customFormat="1" ht="24">
      <c r="A3" s="92" t="s">
        <v>121</v>
      </c>
      <c r="B3" s="93"/>
      <c r="C3" s="93"/>
      <c r="D3" s="93"/>
      <c r="E3" s="93"/>
      <c r="F3" s="93"/>
      <c r="G3" s="93"/>
    </row>
    <row r="4" spans="1:7" s="18" customFormat="1" ht="16" customHeight="1">
      <c r="A4" s="94" t="s">
        <v>100</v>
      </c>
      <c r="B4" s="96" t="s">
        <v>101</v>
      </c>
      <c r="C4" s="96" t="s">
        <v>102</v>
      </c>
      <c r="D4" s="96" t="s">
        <v>103</v>
      </c>
      <c r="E4" s="96" t="s">
        <v>104</v>
      </c>
      <c r="F4" s="96" t="s">
        <v>12</v>
      </c>
      <c r="G4" s="96" t="s">
        <v>112</v>
      </c>
    </row>
    <row r="5" spans="1:7" s="18" customFormat="1" ht="17.25" customHeight="1">
      <c r="A5" s="95"/>
      <c r="B5" s="97"/>
      <c r="C5" s="97"/>
      <c r="D5" s="97"/>
      <c r="E5" s="97"/>
      <c r="F5" s="97"/>
      <c r="G5" s="97"/>
    </row>
    <row r="6" spans="1:7" ht="17.25" customHeight="1">
      <c r="A6" s="19"/>
      <c r="B6" s="37" t="s">
        <v>122</v>
      </c>
      <c r="C6" s="38" t="s">
        <v>122</v>
      </c>
      <c r="D6" s="38" t="s">
        <v>122</v>
      </c>
      <c r="E6" s="39" t="s">
        <v>122</v>
      </c>
      <c r="F6" s="39" t="s">
        <v>122</v>
      </c>
      <c r="G6" s="21"/>
    </row>
    <row r="7" spans="1:7" ht="17.25" customHeight="1">
      <c r="A7" s="14"/>
      <c r="C7" s="16"/>
      <c r="D7" s="16"/>
    </row>
    <row r="8" spans="1:7" ht="17.25" customHeight="1">
      <c r="A8" s="14"/>
      <c r="C8" s="16"/>
      <c r="D8" s="16"/>
    </row>
    <row r="9" spans="1:7" ht="17.25" customHeight="1">
      <c r="A9" s="14"/>
      <c r="C9" s="16"/>
      <c r="D9" s="16"/>
    </row>
    <row r="10" spans="1:7" ht="17.25" customHeight="1">
      <c r="A10" s="14"/>
      <c r="C10" s="16"/>
      <c r="D10" s="16"/>
    </row>
    <row r="11" spans="1:7" ht="17.25" customHeight="1">
      <c r="A11" s="14"/>
      <c r="C11" s="16"/>
      <c r="D11" s="16"/>
    </row>
    <row r="12" spans="1:7" ht="17.25" customHeight="1">
      <c r="A12" s="14"/>
      <c r="C12" s="16"/>
      <c r="D12" s="16"/>
    </row>
    <row r="13" spans="1:7" ht="17.25" customHeight="1">
      <c r="A13" s="14"/>
      <c r="C13" s="16"/>
      <c r="D13" s="16"/>
    </row>
    <row r="14" spans="1:7" ht="17.25" customHeight="1">
      <c r="A14" s="14"/>
      <c r="C14" s="16"/>
      <c r="D14" s="16"/>
    </row>
    <row r="15" spans="1:7" ht="17.25" customHeight="1">
      <c r="A15" s="14"/>
      <c r="C15" s="16"/>
      <c r="D15" s="16"/>
    </row>
    <row r="16" spans="1:7" ht="17.25" customHeight="1">
      <c r="A16" s="14"/>
      <c r="C16" s="16"/>
      <c r="D16" s="16"/>
    </row>
    <row r="17" spans="1:4" ht="17.25" customHeight="1">
      <c r="A17" s="14"/>
      <c r="C17" s="16"/>
      <c r="D17" s="16"/>
    </row>
    <row r="18" spans="1:4" ht="17.25" customHeight="1">
      <c r="A18" s="14"/>
      <c r="C18" s="16"/>
      <c r="D18" s="16"/>
    </row>
    <row r="19" spans="1:4" ht="17.25" customHeight="1">
      <c r="A19" s="14"/>
      <c r="C19" s="16"/>
      <c r="D19" s="16"/>
    </row>
    <row r="20" spans="1:4" ht="17.25" customHeight="1">
      <c r="A20" s="14"/>
      <c r="C20" s="16"/>
      <c r="D20" s="16"/>
    </row>
    <row r="21" spans="1:4" ht="17.25" customHeight="1">
      <c r="A21" s="14"/>
      <c r="C21" s="16"/>
      <c r="D21" s="16"/>
    </row>
    <row r="22" spans="1:4" ht="17.25" customHeight="1">
      <c r="A22" s="14"/>
      <c r="C22" s="16"/>
      <c r="D22" s="16"/>
    </row>
    <row r="23" spans="1:4" ht="17.25" customHeight="1">
      <c r="A23" s="14"/>
      <c r="C23" s="16"/>
      <c r="D23" s="16"/>
    </row>
    <row r="24" spans="1:4" ht="17.25" customHeight="1">
      <c r="A24" s="14"/>
      <c r="C24" s="16"/>
      <c r="D24" s="16"/>
    </row>
    <row r="25" spans="1:4" ht="17.25" customHeight="1">
      <c r="A25" s="14"/>
      <c r="C25" s="16"/>
      <c r="D25" s="16"/>
    </row>
    <row r="26" spans="1:4" ht="17.25" customHeight="1">
      <c r="A26" s="14"/>
      <c r="C26" s="16"/>
      <c r="D26" s="16"/>
    </row>
    <row r="27" spans="1:4" ht="17.25" customHeight="1">
      <c r="A27" s="14"/>
      <c r="C27" s="16"/>
      <c r="D27" s="16"/>
    </row>
    <row r="28" spans="1:4" ht="17.25" customHeight="1">
      <c r="A28" s="14"/>
      <c r="C28" s="16"/>
      <c r="D28" s="16"/>
    </row>
    <row r="29" spans="1:4" ht="17.25" customHeight="1">
      <c r="A29" s="14"/>
      <c r="C29" s="16"/>
      <c r="D29" s="16"/>
    </row>
    <row r="30" spans="1:4" ht="17.25" customHeight="1">
      <c r="A30" s="14"/>
      <c r="C30" s="16"/>
      <c r="D30" s="16"/>
    </row>
    <row r="31" spans="1:4" ht="17.25" customHeight="1">
      <c r="A31" s="14"/>
      <c r="C31" s="16"/>
      <c r="D31" s="16"/>
    </row>
    <row r="32" spans="1:4" ht="17.25" customHeight="1">
      <c r="A32" s="14"/>
      <c r="C32" s="16"/>
      <c r="D32" s="16"/>
    </row>
    <row r="33" spans="1:4" ht="17.25" customHeight="1">
      <c r="A33" s="14"/>
      <c r="C33" s="16"/>
      <c r="D33" s="16"/>
    </row>
    <row r="34" spans="1:4" ht="17.25" customHeight="1">
      <c r="A34" s="14"/>
      <c r="C34" s="16"/>
      <c r="D34" s="16"/>
    </row>
    <row r="35" spans="1:4" ht="17.25" customHeight="1">
      <c r="A35" s="14"/>
      <c r="C35" s="16"/>
      <c r="D35" s="16"/>
    </row>
    <row r="36" spans="1:4" ht="17.25" customHeight="1">
      <c r="A36" s="14"/>
      <c r="C36" s="16"/>
      <c r="D36" s="16"/>
    </row>
    <row r="37" spans="1:4" ht="17.25" customHeight="1">
      <c r="A37" s="14"/>
      <c r="C37" s="16"/>
      <c r="D37" s="16"/>
    </row>
    <row r="38" spans="1:4" ht="17.25" customHeight="1">
      <c r="A38" s="14"/>
      <c r="C38" s="16"/>
      <c r="D38" s="16"/>
    </row>
    <row r="39" spans="1:4" ht="17.25" customHeight="1">
      <c r="A39" s="14"/>
      <c r="C39" s="16"/>
      <c r="D39" s="16"/>
    </row>
    <row r="40" spans="1:4" ht="17.25" customHeight="1">
      <c r="A40" s="14"/>
      <c r="C40" s="16"/>
      <c r="D40" s="16"/>
    </row>
    <row r="41" spans="1:4" ht="17.25" customHeight="1">
      <c r="A41" s="14"/>
      <c r="C41" s="16"/>
      <c r="D41" s="16"/>
    </row>
    <row r="42" spans="1:4" ht="17.25" customHeight="1">
      <c r="A42" s="14"/>
      <c r="C42" s="16"/>
      <c r="D42" s="16"/>
    </row>
    <row r="43" spans="1:4" ht="17.25" customHeight="1">
      <c r="A43" s="14"/>
      <c r="C43" s="16"/>
      <c r="D43" s="16"/>
    </row>
    <row r="44" spans="1:4" ht="17.25" customHeight="1">
      <c r="A44" s="14"/>
      <c r="C44" s="16"/>
      <c r="D44" s="16"/>
    </row>
    <row r="45" spans="1:4" ht="17.25" customHeight="1">
      <c r="A45" s="14"/>
      <c r="C45" s="16"/>
      <c r="D45" s="16"/>
    </row>
    <row r="46" spans="1:4" ht="17.25" customHeight="1">
      <c r="A46" s="14"/>
      <c r="C46" s="16"/>
      <c r="D46" s="16"/>
    </row>
    <row r="47" spans="1:4" ht="17.25" customHeight="1">
      <c r="A47" s="14"/>
      <c r="C47" s="16"/>
      <c r="D47" s="16"/>
    </row>
    <row r="48" spans="1:4" ht="17.25" customHeight="1">
      <c r="A48" s="14"/>
      <c r="C48" s="16"/>
      <c r="D48" s="16"/>
    </row>
    <row r="49" spans="1:4" ht="17.25" customHeight="1">
      <c r="A49" s="14"/>
      <c r="C49" s="16"/>
      <c r="D49" s="16"/>
    </row>
    <row r="50" spans="1:4" ht="17.25" customHeight="1">
      <c r="A50" s="14"/>
      <c r="C50" s="16"/>
      <c r="D50" s="16"/>
    </row>
    <row r="51" spans="1:4" ht="17.25" customHeight="1">
      <c r="A51" s="14"/>
      <c r="C51" s="16"/>
      <c r="D51" s="16"/>
    </row>
    <row r="52" spans="1:4" ht="17.25" customHeight="1">
      <c r="A52" s="14"/>
      <c r="C52" s="16"/>
      <c r="D52" s="16"/>
    </row>
    <row r="53" spans="1:4" ht="17.25" customHeight="1">
      <c r="A53" s="14"/>
      <c r="C53" s="16"/>
      <c r="D53" s="16"/>
    </row>
    <row r="54" spans="1:4" ht="17.25" customHeight="1">
      <c r="A54" s="14"/>
      <c r="C54" s="16"/>
      <c r="D54" s="16"/>
    </row>
    <row r="55" spans="1:4" ht="17.25" customHeight="1">
      <c r="A55" s="14"/>
      <c r="C55" s="16"/>
      <c r="D55" s="16"/>
    </row>
    <row r="56" spans="1:4" ht="17.25" customHeight="1">
      <c r="A56" s="14"/>
      <c r="C56" s="16"/>
      <c r="D56" s="16"/>
    </row>
    <row r="57" spans="1:4" ht="17.25" customHeight="1">
      <c r="A57" s="14"/>
      <c r="C57" s="16"/>
      <c r="D57" s="16"/>
    </row>
    <row r="58" spans="1:4" ht="17.25" customHeight="1">
      <c r="A58" s="14"/>
      <c r="C58" s="16"/>
      <c r="D58" s="16"/>
    </row>
    <row r="59" spans="1:4" ht="17.25" customHeight="1">
      <c r="A59" s="14"/>
      <c r="C59" s="16"/>
      <c r="D59" s="16"/>
    </row>
    <row r="60" spans="1:4" ht="17.25" customHeight="1">
      <c r="A60" s="14"/>
      <c r="C60" s="16"/>
      <c r="D60" s="16"/>
    </row>
    <row r="61" spans="1:4" ht="17.25" customHeight="1">
      <c r="A61" s="14"/>
      <c r="C61" s="16"/>
      <c r="D61" s="16"/>
    </row>
    <row r="62" spans="1:4" ht="17.25" customHeight="1">
      <c r="A62" s="14"/>
      <c r="C62" s="16"/>
      <c r="D62" s="16"/>
    </row>
    <row r="63" spans="1:4" ht="17.25" customHeight="1">
      <c r="A63" s="14"/>
      <c r="C63" s="16"/>
      <c r="D63" s="16"/>
    </row>
    <row r="64" spans="1:4" ht="17.25" customHeight="1">
      <c r="A64" s="14"/>
      <c r="C64" s="16"/>
      <c r="D64" s="16"/>
    </row>
    <row r="65" spans="1:4" ht="17.25" customHeight="1">
      <c r="A65" s="14"/>
      <c r="C65" s="16"/>
      <c r="D65" s="16"/>
    </row>
    <row r="66" spans="1:4" ht="17.25" customHeight="1">
      <c r="A66" s="14"/>
      <c r="C66" s="16"/>
      <c r="D66" s="16"/>
    </row>
    <row r="67" spans="1:4" ht="17.25" customHeight="1">
      <c r="A67" s="14"/>
      <c r="C67" s="16"/>
      <c r="D67" s="16"/>
    </row>
    <row r="68" spans="1:4" ht="17.25" customHeight="1">
      <c r="A68" s="14"/>
      <c r="C68" s="16"/>
      <c r="D68" s="16"/>
    </row>
    <row r="69" spans="1:4" ht="17.25" customHeight="1">
      <c r="A69" s="14"/>
      <c r="C69" s="16"/>
      <c r="D69" s="16"/>
    </row>
    <row r="70" spans="1:4" ht="17.25" customHeight="1">
      <c r="A70" s="14"/>
      <c r="C70" s="16"/>
      <c r="D70" s="16"/>
    </row>
    <row r="71" spans="1:4" ht="17.25" customHeight="1">
      <c r="A71" s="14"/>
      <c r="C71" s="16"/>
      <c r="D71" s="16"/>
    </row>
    <row r="72" spans="1:4" ht="17.25" customHeight="1">
      <c r="A72" s="14"/>
      <c r="C72" s="16"/>
      <c r="D72" s="16"/>
    </row>
    <row r="73" spans="1:4" ht="17.25" customHeight="1">
      <c r="A73" s="14"/>
      <c r="C73" s="16"/>
      <c r="D73" s="16"/>
    </row>
    <row r="74" spans="1:4" ht="17.25" customHeight="1">
      <c r="A74" s="14"/>
      <c r="C74" s="16"/>
      <c r="D74" s="16"/>
    </row>
    <row r="75" spans="1:4" ht="17.25" customHeight="1">
      <c r="A75" s="14"/>
      <c r="C75" s="16"/>
      <c r="D75" s="16"/>
    </row>
    <row r="76" spans="1:4" ht="17.25" customHeight="1">
      <c r="A76" s="14"/>
      <c r="C76" s="16"/>
      <c r="D76" s="16"/>
    </row>
    <row r="77" spans="1:4" ht="17.25" customHeight="1">
      <c r="A77" s="14"/>
      <c r="C77" s="16"/>
      <c r="D77" s="16"/>
    </row>
    <row r="78" spans="1:4" ht="17.25" customHeight="1">
      <c r="A78" s="14"/>
      <c r="C78" s="16"/>
      <c r="D78" s="16"/>
    </row>
    <row r="79" spans="1:4" ht="17.25" customHeight="1">
      <c r="A79" s="14"/>
      <c r="C79" s="16"/>
      <c r="D79" s="16"/>
    </row>
    <row r="80" spans="1:4" ht="17.25" customHeight="1">
      <c r="A80" s="14"/>
      <c r="C80" s="16"/>
      <c r="D80" s="16"/>
    </row>
    <row r="81" spans="1:4" ht="17.25" customHeight="1">
      <c r="A81" s="14"/>
      <c r="C81" s="16"/>
      <c r="D81" s="16"/>
    </row>
    <row r="82" spans="1:4" ht="17.25" customHeight="1">
      <c r="A82" s="14"/>
      <c r="C82" s="16"/>
      <c r="D82" s="16"/>
    </row>
    <row r="83" spans="1:4" ht="17.25" customHeight="1">
      <c r="A83" s="14"/>
      <c r="C83" s="16"/>
      <c r="D83" s="16"/>
    </row>
    <row r="84" spans="1:4" ht="17.25" customHeight="1">
      <c r="A84" s="14"/>
      <c r="C84" s="16"/>
      <c r="D84" s="16"/>
    </row>
    <row r="85" spans="1:4" ht="17.25" customHeight="1">
      <c r="A85" s="14"/>
      <c r="C85" s="16"/>
      <c r="D85" s="16"/>
    </row>
    <row r="86" spans="1:4" ht="17.25" customHeight="1">
      <c r="A86" s="14"/>
      <c r="C86" s="16"/>
      <c r="D86" s="16"/>
    </row>
    <row r="87" spans="1:4" ht="17.25" customHeight="1">
      <c r="A87" s="14"/>
      <c r="C87" s="16"/>
      <c r="D87" s="16"/>
    </row>
    <row r="88" spans="1:4" ht="17.25" customHeight="1">
      <c r="A88" s="14"/>
      <c r="C88" s="16"/>
      <c r="D88" s="16"/>
    </row>
    <row r="89" spans="1:4" ht="17.25" customHeight="1">
      <c r="A89" s="14"/>
      <c r="C89" s="16"/>
      <c r="D89" s="16"/>
    </row>
    <row r="90" spans="1:4" ht="17.25" customHeight="1">
      <c r="A90" s="14"/>
      <c r="C90" s="16"/>
      <c r="D90" s="16"/>
    </row>
    <row r="91" spans="1:4" ht="17.25" customHeight="1">
      <c r="A91" s="14"/>
      <c r="C91" s="16"/>
      <c r="D91" s="16"/>
    </row>
    <row r="92" spans="1:4" ht="17.25" customHeight="1">
      <c r="A92" s="14"/>
      <c r="C92" s="16"/>
      <c r="D92" s="16"/>
    </row>
    <row r="93" spans="1:4" ht="17.25" customHeight="1">
      <c r="A93" s="14"/>
      <c r="C93" s="16"/>
      <c r="D93" s="16"/>
    </row>
    <row r="94" spans="1:4" ht="17.25" customHeight="1">
      <c r="A94" s="14"/>
      <c r="C94" s="16"/>
      <c r="D94" s="16"/>
    </row>
    <row r="95" spans="1:4" ht="17.25" customHeight="1">
      <c r="A95" s="14"/>
      <c r="C95" s="16"/>
      <c r="D95" s="16"/>
    </row>
    <row r="96" spans="1:4" ht="17.25" customHeight="1">
      <c r="A96" s="14"/>
      <c r="C96" s="16"/>
      <c r="D96" s="16"/>
    </row>
    <row r="97" spans="1:4" ht="17.25" customHeight="1">
      <c r="A97" s="14"/>
      <c r="C97" s="16"/>
      <c r="D97" s="16"/>
    </row>
    <row r="98" spans="1:4" ht="17.25" customHeight="1">
      <c r="A98" s="14"/>
      <c r="C98" s="16"/>
      <c r="D98" s="16"/>
    </row>
    <row r="99" spans="1:4" ht="17.25" customHeight="1">
      <c r="A99" s="14"/>
      <c r="C99" s="16"/>
      <c r="D99" s="16"/>
    </row>
    <row r="100" spans="1:4" ht="17.25" customHeight="1">
      <c r="A100" s="14"/>
      <c r="C100" s="16"/>
      <c r="D100" s="16"/>
    </row>
    <row r="101" spans="1:4" ht="17.25" customHeight="1">
      <c r="A101" s="14"/>
      <c r="C101" s="16"/>
      <c r="D101" s="16"/>
    </row>
    <row r="102" spans="1:4" ht="17.25" customHeight="1">
      <c r="A102" s="14"/>
      <c r="C102" s="16"/>
      <c r="D102" s="16"/>
    </row>
    <row r="103" spans="1:4" ht="17.25" customHeight="1">
      <c r="A103" s="14"/>
      <c r="C103" s="16"/>
      <c r="D103" s="16"/>
    </row>
    <row r="104" spans="1:4" ht="17.25" customHeight="1">
      <c r="A104" s="14"/>
      <c r="C104" s="16"/>
      <c r="D104" s="16"/>
    </row>
    <row r="105" spans="1:4" ht="17.25" customHeight="1">
      <c r="A105" s="14"/>
      <c r="C105" s="16"/>
      <c r="D105" s="16"/>
    </row>
    <row r="106" spans="1:4" ht="17.25" customHeight="1">
      <c r="A106" s="14"/>
      <c r="C106" s="16"/>
      <c r="D106" s="16"/>
    </row>
    <row r="107" spans="1:4" ht="17.25" customHeight="1">
      <c r="A107" s="14"/>
      <c r="C107" s="16"/>
      <c r="D107" s="16"/>
    </row>
    <row r="108" spans="1:4" ht="17.25" customHeight="1">
      <c r="A108" s="14"/>
      <c r="C108" s="16"/>
      <c r="D108" s="16"/>
    </row>
    <row r="109" spans="1:4" ht="17.25" customHeight="1">
      <c r="A109" s="14"/>
      <c r="C109" s="16"/>
      <c r="D109" s="16"/>
    </row>
    <row r="110" spans="1:4" ht="17.25" customHeight="1">
      <c r="A110" s="14"/>
      <c r="C110" s="16"/>
      <c r="D110" s="16"/>
    </row>
    <row r="111" spans="1:4" ht="17.25" customHeight="1">
      <c r="A111" s="14"/>
      <c r="C111" s="16"/>
      <c r="D111" s="16"/>
    </row>
    <row r="112" spans="1:4" ht="17.25" customHeight="1">
      <c r="A112" s="14"/>
      <c r="C112" s="16"/>
      <c r="D112" s="16"/>
    </row>
    <row r="113" spans="1:4" ht="17.25" customHeight="1">
      <c r="A113" s="14"/>
      <c r="C113" s="16"/>
      <c r="D113" s="16"/>
    </row>
    <row r="114" spans="1:4" ht="17.25" customHeight="1">
      <c r="A114" s="14"/>
      <c r="C114" s="16"/>
      <c r="D114" s="16"/>
    </row>
    <row r="115" spans="1:4" ht="17.25" customHeight="1">
      <c r="A115" s="14"/>
      <c r="C115" s="16"/>
      <c r="D115" s="16"/>
    </row>
    <row r="116" spans="1:4" ht="17.25" customHeight="1">
      <c r="A116" s="14"/>
      <c r="C116" s="16"/>
      <c r="D116" s="16"/>
    </row>
    <row r="117" spans="1:4" ht="17.25" customHeight="1">
      <c r="A117" s="14"/>
      <c r="C117" s="16"/>
      <c r="D117" s="16"/>
    </row>
    <row r="118" spans="1:4" ht="17.25" customHeight="1">
      <c r="A118" s="14"/>
      <c r="C118" s="16"/>
      <c r="D118" s="16"/>
    </row>
    <row r="119" spans="1:4" ht="17.25" customHeight="1">
      <c r="A119" s="14"/>
      <c r="C119" s="16"/>
      <c r="D119" s="16"/>
    </row>
    <row r="120" spans="1:4" ht="17.25" customHeight="1">
      <c r="A120" s="14"/>
      <c r="C120" s="16"/>
      <c r="D120" s="16"/>
    </row>
    <row r="121" spans="1:4" ht="17.25" customHeight="1">
      <c r="A121" s="14"/>
      <c r="C121" s="16"/>
      <c r="D121" s="16"/>
    </row>
    <row r="122" spans="1:4" ht="17.25" customHeight="1">
      <c r="A122" s="14"/>
      <c r="C122" s="16"/>
      <c r="D122" s="16"/>
    </row>
    <row r="123" spans="1:4" ht="17.25" customHeight="1">
      <c r="A123" s="14"/>
      <c r="C123" s="16"/>
      <c r="D123" s="16"/>
    </row>
    <row r="124" spans="1:4" ht="17.25" customHeight="1">
      <c r="A124" s="14"/>
      <c r="C124" s="16"/>
      <c r="D124" s="16"/>
    </row>
    <row r="125" spans="1:4" ht="17.25" customHeight="1">
      <c r="A125" s="14"/>
      <c r="C125" s="16"/>
      <c r="D125" s="16"/>
    </row>
    <row r="126" spans="1:4" ht="17.25" customHeight="1">
      <c r="A126" s="14"/>
      <c r="C126" s="16"/>
      <c r="D126" s="16"/>
    </row>
    <row r="127" spans="1:4" ht="17.25" customHeight="1">
      <c r="A127" s="14"/>
      <c r="C127" s="16"/>
      <c r="D127" s="16"/>
    </row>
    <row r="128" spans="1:4" ht="17.25" customHeight="1">
      <c r="A128" s="14"/>
      <c r="C128" s="16"/>
      <c r="D128" s="16"/>
    </row>
    <row r="129" spans="1:4" ht="17.25" customHeight="1">
      <c r="A129" s="14"/>
      <c r="C129" s="16"/>
      <c r="D129" s="16"/>
    </row>
    <row r="130" spans="1:4" ht="17.25" customHeight="1">
      <c r="A130" s="14"/>
      <c r="C130" s="16"/>
      <c r="D130" s="16"/>
    </row>
    <row r="131" spans="1:4" ht="17.25" customHeight="1">
      <c r="A131" s="14"/>
      <c r="C131" s="16"/>
      <c r="D131" s="16"/>
    </row>
    <row r="132" spans="1:4" ht="17.25" customHeight="1">
      <c r="A132" s="14"/>
      <c r="C132" s="16"/>
      <c r="D132" s="16"/>
    </row>
    <row r="133" spans="1:4" ht="17.25" customHeight="1">
      <c r="A133" s="14"/>
      <c r="C133" s="16"/>
      <c r="D133" s="16"/>
    </row>
    <row r="134" spans="1:4" ht="17.25" customHeight="1">
      <c r="A134" s="14"/>
      <c r="C134" s="16"/>
      <c r="D134" s="16"/>
    </row>
    <row r="135" spans="1:4" ht="17.25" customHeight="1">
      <c r="A135" s="14"/>
      <c r="C135" s="16"/>
      <c r="D135" s="16"/>
    </row>
    <row r="136" spans="1:4" ht="17.25" customHeight="1">
      <c r="A136" s="14"/>
      <c r="C136" s="16"/>
      <c r="D136" s="16"/>
    </row>
    <row r="137" spans="1:4" ht="17.25" customHeight="1">
      <c r="A137" s="14"/>
      <c r="C137" s="16"/>
      <c r="D137" s="16"/>
    </row>
    <row r="138" spans="1:4" ht="17.25" customHeight="1">
      <c r="A138" s="14"/>
      <c r="C138" s="16"/>
      <c r="D138" s="16"/>
    </row>
    <row r="139" spans="1:4" ht="17.25" customHeight="1">
      <c r="A139" s="14"/>
      <c r="C139" s="16"/>
      <c r="D139" s="16"/>
    </row>
    <row r="140" spans="1:4" ht="17.25" customHeight="1">
      <c r="A140" s="14"/>
      <c r="C140" s="16"/>
      <c r="D140" s="16"/>
    </row>
    <row r="141" spans="1:4" ht="17.25" customHeight="1">
      <c r="A141" s="14"/>
      <c r="C141" s="16"/>
      <c r="D141" s="16"/>
    </row>
    <row r="142" spans="1:4" ht="17.25" customHeight="1">
      <c r="A142" s="14"/>
      <c r="C142" s="16"/>
      <c r="D142" s="16"/>
    </row>
    <row r="143" spans="1:4" ht="17.25" customHeight="1">
      <c r="A143" s="14"/>
      <c r="C143" s="16"/>
      <c r="D143" s="16"/>
    </row>
    <row r="144" spans="1:4" ht="17.25" customHeight="1">
      <c r="A144" s="14"/>
      <c r="C144" s="16"/>
      <c r="D144" s="16"/>
    </row>
    <row r="145" spans="1:4" ht="17.25" customHeight="1">
      <c r="A145" s="14"/>
      <c r="C145" s="16"/>
      <c r="D145" s="16"/>
    </row>
    <row r="146" spans="1:4" ht="17.25" customHeight="1">
      <c r="A146" s="14"/>
      <c r="C146" s="16"/>
      <c r="D146" s="16"/>
    </row>
    <row r="147" spans="1:4" ht="17.25" customHeight="1">
      <c r="A147" s="14"/>
      <c r="C147" s="16"/>
      <c r="D147" s="16"/>
    </row>
    <row r="148" spans="1:4" ht="17.25" customHeight="1">
      <c r="A148" s="14"/>
      <c r="C148" s="16"/>
      <c r="D148" s="16"/>
    </row>
    <row r="149" spans="1:4" ht="17.25" customHeight="1">
      <c r="A149" s="14"/>
      <c r="C149" s="16"/>
      <c r="D149" s="16"/>
    </row>
    <row r="150" spans="1:4" ht="17.25" customHeight="1">
      <c r="A150" s="14"/>
      <c r="C150" s="16"/>
      <c r="D150" s="16"/>
    </row>
    <row r="151" spans="1:4" ht="17.25" customHeight="1">
      <c r="A151" s="14"/>
      <c r="C151" s="16"/>
      <c r="D151" s="16"/>
    </row>
    <row r="152" spans="1:4" ht="17.25" customHeight="1">
      <c r="A152" s="14"/>
      <c r="C152" s="16"/>
      <c r="D152" s="16"/>
    </row>
    <row r="153" spans="1:4" ht="17.25" customHeight="1">
      <c r="A153" s="14"/>
      <c r="C153" s="16"/>
      <c r="D153" s="16"/>
    </row>
    <row r="154" spans="1:4" ht="17.25" customHeight="1">
      <c r="A154" s="14"/>
      <c r="C154" s="16"/>
      <c r="D154" s="16"/>
    </row>
    <row r="155" spans="1:4" ht="17.25" customHeight="1">
      <c r="A155" s="14"/>
      <c r="C155" s="16"/>
      <c r="D155" s="16"/>
    </row>
    <row r="156" spans="1:4" ht="17.25" customHeight="1">
      <c r="A156" s="14"/>
      <c r="C156" s="16"/>
      <c r="D156" s="16"/>
    </row>
    <row r="157" spans="1:4" ht="17.25" customHeight="1">
      <c r="A157" s="14"/>
      <c r="C157" s="16"/>
      <c r="D157" s="16"/>
    </row>
    <row r="158" spans="1:4" ht="17.25" customHeight="1">
      <c r="A158" s="14"/>
      <c r="C158" s="16"/>
      <c r="D158" s="16"/>
    </row>
    <row r="159" spans="1:4" ht="17.25" customHeight="1">
      <c r="A159" s="14"/>
      <c r="C159" s="16"/>
      <c r="D159" s="16"/>
    </row>
    <row r="160" spans="1:4" ht="17.25" customHeight="1">
      <c r="A160" s="14"/>
      <c r="C160" s="16"/>
      <c r="D160" s="16"/>
    </row>
    <row r="161" spans="1:4" ht="17.25" customHeight="1">
      <c r="A161" s="14"/>
      <c r="C161" s="16"/>
      <c r="D161" s="16"/>
    </row>
    <row r="162" spans="1:4" ht="17.25" customHeight="1">
      <c r="A162" s="14"/>
      <c r="C162" s="16"/>
      <c r="D162" s="16"/>
    </row>
    <row r="163" spans="1:4" ht="17.25" customHeight="1">
      <c r="A163" s="14"/>
      <c r="C163" s="16"/>
      <c r="D163" s="16"/>
    </row>
    <row r="164" spans="1:4" ht="17.25" customHeight="1">
      <c r="A164" s="14"/>
      <c r="C164" s="16"/>
      <c r="D164" s="16"/>
    </row>
    <row r="165" spans="1:4" ht="17.25" customHeight="1">
      <c r="A165" s="14"/>
      <c r="C165" s="16"/>
      <c r="D165" s="16"/>
    </row>
    <row r="166" spans="1:4" ht="17.25" customHeight="1">
      <c r="A166" s="14"/>
      <c r="C166" s="16"/>
      <c r="D166" s="16"/>
    </row>
    <row r="167" spans="1:4" ht="17.25" customHeight="1">
      <c r="A167" s="14"/>
      <c r="C167" s="16"/>
      <c r="D167" s="16"/>
    </row>
    <row r="168" spans="1:4" ht="17.25" customHeight="1">
      <c r="A168" s="14"/>
      <c r="C168" s="16"/>
      <c r="D168" s="16"/>
    </row>
    <row r="169" spans="1:4" ht="17.25" customHeight="1">
      <c r="A169" s="14"/>
      <c r="C169" s="16"/>
      <c r="D169" s="16"/>
    </row>
    <row r="170" spans="1:4" ht="17.25" customHeight="1">
      <c r="A170" s="14"/>
      <c r="C170" s="16"/>
      <c r="D170" s="16"/>
    </row>
    <row r="171" spans="1:4" ht="17.25" customHeight="1">
      <c r="A171" s="14"/>
      <c r="C171" s="16"/>
      <c r="D171" s="16"/>
    </row>
    <row r="172" spans="1:4" ht="17.25" customHeight="1">
      <c r="A172" s="14"/>
      <c r="C172" s="16"/>
      <c r="D172" s="16"/>
    </row>
    <row r="173" spans="1:4" ht="17.25" customHeight="1">
      <c r="A173" s="14"/>
      <c r="C173" s="16"/>
      <c r="D173" s="16"/>
    </row>
    <row r="174" spans="1:4" ht="17.25" customHeight="1">
      <c r="A174" s="14"/>
      <c r="C174" s="16"/>
      <c r="D174" s="16"/>
    </row>
    <row r="175" spans="1:4" ht="17.25" customHeight="1">
      <c r="A175" s="14"/>
      <c r="C175" s="16"/>
      <c r="D175" s="16"/>
    </row>
    <row r="176" spans="1:4" ht="17.25" customHeight="1">
      <c r="A176" s="14"/>
      <c r="C176" s="16"/>
      <c r="D176" s="16"/>
    </row>
    <row r="177" spans="1:4" ht="17.25" customHeight="1">
      <c r="A177" s="14"/>
      <c r="C177" s="16"/>
      <c r="D177" s="16"/>
    </row>
    <row r="178" spans="1:4" ht="17.25" customHeight="1">
      <c r="A178" s="14"/>
      <c r="C178" s="16"/>
      <c r="D178" s="16"/>
    </row>
    <row r="179" spans="1:4" ht="17.25" customHeight="1">
      <c r="A179" s="14"/>
      <c r="C179" s="16"/>
      <c r="D179" s="16"/>
    </row>
    <row r="180" spans="1:4" ht="17.25" customHeight="1">
      <c r="A180" s="14"/>
      <c r="C180" s="16"/>
      <c r="D180" s="16"/>
    </row>
    <row r="181" spans="1:4" ht="17.25" customHeight="1">
      <c r="A181" s="14"/>
      <c r="C181" s="16"/>
      <c r="D181" s="16"/>
    </row>
    <row r="182" spans="1:4" ht="17.25" customHeight="1">
      <c r="A182" s="14"/>
      <c r="C182" s="16"/>
      <c r="D182" s="16"/>
    </row>
    <row r="183" spans="1:4" ht="17.25" customHeight="1">
      <c r="A183" s="14"/>
      <c r="C183" s="16"/>
      <c r="D183" s="16"/>
    </row>
    <row r="184" spans="1:4" ht="17.25" customHeight="1">
      <c r="A184" s="14"/>
      <c r="C184" s="16"/>
      <c r="D184" s="16"/>
    </row>
    <row r="185" spans="1:4" ht="17.25" customHeight="1">
      <c r="A185" s="14"/>
      <c r="C185" s="16"/>
      <c r="D185" s="16"/>
    </row>
    <row r="186" spans="1:4" ht="17.25" customHeight="1">
      <c r="A186" s="14"/>
      <c r="C186" s="16"/>
      <c r="D186" s="16"/>
    </row>
    <row r="187" spans="1:4" ht="17.25" customHeight="1">
      <c r="A187" s="14"/>
      <c r="C187" s="16"/>
      <c r="D187" s="16"/>
    </row>
    <row r="188" spans="1:4" ht="17.25" customHeight="1">
      <c r="A188" s="14"/>
      <c r="C188" s="16"/>
      <c r="D188" s="16"/>
    </row>
    <row r="189" spans="1:4" ht="17.25" customHeight="1">
      <c r="A189" s="14"/>
      <c r="C189" s="16"/>
      <c r="D189" s="16"/>
    </row>
    <row r="190" spans="1:4" ht="17.25" customHeight="1">
      <c r="A190" s="14"/>
      <c r="C190" s="16"/>
      <c r="D190" s="16"/>
    </row>
    <row r="191" spans="1:4" ht="17.25" customHeight="1">
      <c r="A191" s="14"/>
      <c r="C191" s="16"/>
      <c r="D191" s="16"/>
    </row>
    <row r="192" spans="1:4" ht="17.25" customHeight="1">
      <c r="A192" s="14"/>
      <c r="C192" s="16"/>
      <c r="D192" s="16"/>
    </row>
    <row r="193" spans="1:4" ht="17.25" customHeight="1">
      <c r="A193" s="14"/>
      <c r="C193" s="16"/>
      <c r="D193" s="16"/>
    </row>
    <row r="194" spans="1:4" ht="17.25" customHeight="1">
      <c r="A194" s="14"/>
      <c r="C194" s="16"/>
      <c r="D194" s="16"/>
    </row>
    <row r="195" spans="1:4" ht="17.25" customHeight="1">
      <c r="A195" s="14"/>
      <c r="C195" s="16"/>
      <c r="D195" s="16"/>
    </row>
    <row r="196" spans="1:4" ht="17.25" customHeight="1">
      <c r="A196" s="14"/>
      <c r="C196" s="16"/>
      <c r="D196" s="16"/>
    </row>
    <row r="197" spans="1:4" ht="17.25" customHeight="1">
      <c r="A197" s="14"/>
      <c r="C197" s="16"/>
      <c r="D197" s="16"/>
    </row>
    <row r="198" spans="1:4" ht="17.25" customHeight="1">
      <c r="A198" s="14"/>
      <c r="C198" s="16"/>
      <c r="D198" s="16"/>
    </row>
    <row r="199" spans="1:4" ht="17.25" customHeight="1">
      <c r="A199" s="14"/>
      <c r="C199" s="16"/>
      <c r="D199" s="16"/>
    </row>
    <row r="200" spans="1:4" ht="17.25" customHeight="1">
      <c r="A200" s="14"/>
      <c r="C200" s="16"/>
      <c r="D200" s="16"/>
    </row>
    <row r="201" spans="1:4" ht="17.25" customHeight="1">
      <c r="A201" s="14"/>
      <c r="C201" s="16"/>
      <c r="D201" s="16"/>
    </row>
    <row r="202" spans="1:4" ht="17.25" customHeight="1">
      <c r="A202" s="14"/>
      <c r="C202" s="16"/>
      <c r="D202" s="16"/>
    </row>
    <row r="203" spans="1:4" ht="17.25" customHeight="1">
      <c r="A203" s="14"/>
      <c r="C203" s="16"/>
      <c r="D203" s="16"/>
    </row>
    <row r="204" spans="1:4" ht="17.25" customHeight="1">
      <c r="A204" s="14"/>
      <c r="C204" s="16"/>
      <c r="D204" s="16"/>
    </row>
    <row r="205" spans="1:4" ht="17.25" customHeight="1">
      <c r="A205" s="14"/>
      <c r="C205" s="16"/>
      <c r="D205" s="16"/>
    </row>
    <row r="206" spans="1:4" ht="17.25" customHeight="1">
      <c r="A206" s="14"/>
      <c r="C206" s="16"/>
      <c r="D206" s="16"/>
    </row>
    <row r="207" spans="1:4" ht="17.25" customHeight="1">
      <c r="A207" s="14"/>
      <c r="C207" s="16"/>
      <c r="D207" s="16"/>
    </row>
    <row r="208" spans="1:4" ht="17.25" customHeight="1">
      <c r="A208" s="14"/>
      <c r="C208" s="16"/>
      <c r="D208" s="16"/>
    </row>
    <row r="209" spans="1:4" ht="17.25" customHeight="1">
      <c r="A209" s="14"/>
      <c r="C209" s="16"/>
      <c r="D209" s="16"/>
    </row>
    <row r="210" spans="1:4" ht="17.25" customHeight="1">
      <c r="A210" s="14"/>
      <c r="C210" s="16"/>
      <c r="D210" s="16"/>
    </row>
    <row r="211" spans="1:4" ht="17.25" customHeight="1">
      <c r="A211" s="14"/>
      <c r="C211" s="16"/>
      <c r="D211" s="16"/>
    </row>
    <row r="212" spans="1:4" ht="17.25" customHeight="1">
      <c r="A212" s="14"/>
      <c r="C212" s="16"/>
      <c r="D212" s="16"/>
    </row>
    <row r="213" spans="1:4" ht="17.25" customHeight="1">
      <c r="A213" s="14"/>
      <c r="C213" s="16"/>
      <c r="D213" s="16"/>
    </row>
    <row r="214" spans="1:4" ht="17.25" customHeight="1">
      <c r="A214" s="14"/>
      <c r="C214" s="16"/>
      <c r="D214" s="16"/>
    </row>
    <row r="215" spans="1:4" ht="17.25" customHeight="1">
      <c r="A215" s="14"/>
      <c r="C215" s="16"/>
      <c r="D215" s="16"/>
    </row>
    <row r="216" spans="1:4" ht="17.25" customHeight="1">
      <c r="A216" s="14"/>
      <c r="C216" s="16"/>
      <c r="D216" s="16"/>
    </row>
    <row r="217" spans="1:4" ht="17.25" customHeight="1">
      <c r="A217" s="14"/>
      <c r="C217" s="16"/>
      <c r="D217" s="16"/>
    </row>
    <row r="218" spans="1:4" ht="17.25" customHeight="1">
      <c r="A218" s="14"/>
      <c r="C218" s="16"/>
      <c r="D218" s="16"/>
    </row>
    <row r="219" spans="1:4" ht="17.25" customHeight="1">
      <c r="A219" s="14"/>
      <c r="C219" s="16"/>
      <c r="D219" s="16"/>
    </row>
    <row r="220" spans="1:4" ht="17.25" customHeight="1">
      <c r="A220" s="14"/>
      <c r="C220" s="16"/>
      <c r="D220" s="16"/>
    </row>
    <row r="221" spans="1:4" ht="17.25" customHeight="1">
      <c r="A221" s="14"/>
      <c r="C221" s="16"/>
      <c r="D221" s="16"/>
    </row>
    <row r="222" spans="1:4" ht="17.25" customHeight="1">
      <c r="A222" s="14"/>
      <c r="C222" s="16"/>
      <c r="D222" s="16"/>
    </row>
    <row r="223" spans="1:4" ht="17.25" customHeight="1">
      <c r="A223" s="14"/>
      <c r="C223" s="16"/>
      <c r="D223" s="16"/>
    </row>
    <row r="224" spans="1:4" ht="17.25" customHeight="1">
      <c r="A224" s="14"/>
      <c r="C224" s="16"/>
      <c r="D224" s="16"/>
    </row>
    <row r="225" spans="1:4" ht="17.25" customHeight="1">
      <c r="A225" s="14"/>
      <c r="C225" s="16"/>
      <c r="D225" s="16"/>
    </row>
    <row r="226" spans="1:4" ht="17.25" customHeight="1">
      <c r="A226" s="14"/>
      <c r="C226" s="16"/>
      <c r="D226" s="16"/>
    </row>
    <row r="227" spans="1:4" ht="17.25" customHeight="1">
      <c r="A227" s="14"/>
      <c r="C227" s="16"/>
      <c r="D227" s="16"/>
    </row>
    <row r="228" spans="1:4" ht="17.25" customHeight="1">
      <c r="A228" s="14"/>
      <c r="C228" s="16"/>
      <c r="D228" s="16"/>
    </row>
    <row r="229" spans="1:4" ht="17.25" customHeight="1">
      <c r="A229" s="14"/>
      <c r="C229" s="16"/>
      <c r="D229" s="16"/>
    </row>
    <row r="230" spans="1:4" ht="17.25" customHeight="1">
      <c r="A230" s="14"/>
      <c r="C230" s="16"/>
      <c r="D230" s="16"/>
    </row>
    <row r="231" spans="1:4" ht="17.25" customHeight="1">
      <c r="A231" s="14"/>
      <c r="C231" s="16"/>
      <c r="D231" s="16"/>
    </row>
    <row r="232" spans="1:4" ht="17.25" customHeight="1">
      <c r="A232" s="14"/>
      <c r="C232" s="16"/>
      <c r="D232" s="16"/>
    </row>
    <row r="233" spans="1:4" ht="17.25" customHeight="1">
      <c r="A233" s="14"/>
      <c r="C233" s="16"/>
      <c r="D233" s="16"/>
    </row>
    <row r="234" spans="1:4" ht="17.25" customHeight="1">
      <c r="A234" s="14"/>
      <c r="C234" s="16"/>
      <c r="D234" s="16"/>
    </row>
    <row r="235" spans="1:4" ht="17.25" customHeight="1">
      <c r="A235" s="14"/>
      <c r="C235" s="16"/>
      <c r="D235" s="16"/>
    </row>
    <row r="236" spans="1:4" ht="17.25" customHeight="1">
      <c r="A236" s="14"/>
      <c r="C236" s="16"/>
      <c r="D236" s="16"/>
    </row>
    <row r="237" spans="1:4" ht="17.25" customHeight="1">
      <c r="A237" s="14"/>
      <c r="C237" s="16"/>
      <c r="D237" s="16"/>
    </row>
    <row r="238" spans="1:4" ht="17.25" customHeight="1">
      <c r="A238" s="14"/>
      <c r="C238" s="16"/>
      <c r="D238" s="16"/>
    </row>
    <row r="239" spans="1:4" ht="17.25" customHeight="1">
      <c r="A239" s="14"/>
      <c r="C239" s="16"/>
      <c r="D239" s="16"/>
    </row>
    <row r="240" spans="1:4" ht="17.25" customHeight="1">
      <c r="A240" s="14"/>
      <c r="C240" s="16"/>
      <c r="D240" s="16"/>
    </row>
    <row r="241" spans="1:4" ht="17.25" customHeight="1">
      <c r="A241" s="14"/>
      <c r="C241" s="16"/>
      <c r="D241" s="16"/>
    </row>
    <row r="242" spans="1:4" ht="17.25" customHeight="1">
      <c r="A242" s="14"/>
      <c r="C242" s="16"/>
      <c r="D242" s="16"/>
    </row>
    <row r="243" spans="1:4" ht="17.25" customHeight="1">
      <c r="A243" s="14"/>
      <c r="C243" s="16"/>
      <c r="D243" s="16"/>
    </row>
    <row r="244" spans="1:4" ht="17.25" customHeight="1">
      <c r="A244" s="14"/>
      <c r="C244" s="16"/>
      <c r="D244" s="16"/>
    </row>
    <row r="245" spans="1:4" ht="17.25" customHeight="1">
      <c r="A245" s="14"/>
      <c r="C245" s="16"/>
      <c r="D245" s="16"/>
    </row>
    <row r="246" spans="1:4" ht="17.25" customHeight="1">
      <c r="A246" s="14"/>
      <c r="C246" s="16"/>
      <c r="D246" s="16"/>
    </row>
    <row r="247" spans="1:4" ht="17.25" customHeight="1">
      <c r="A247" s="14"/>
      <c r="C247" s="16"/>
      <c r="D247" s="16"/>
    </row>
    <row r="248" spans="1:4" ht="17.25" customHeight="1">
      <c r="A248" s="14"/>
      <c r="C248" s="16"/>
      <c r="D248" s="16"/>
    </row>
    <row r="249" spans="1:4" ht="17.25" customHeight="1">
      <c r="A249" s="14"/>
      <c r="C249" s="16"/>
      <c r="D249" s="16"/>
    </row>
    <row r="250" spans="1:4" ht="17.25" customHeight="1">
      <c r="A250" s="14"/>
      <c r="C250" s="16"/>
      <c r="D250" s="16"/>
    </row>
    <row r="251" spans="1:4" ht="17.25" customHeight="1">
      <c r="A251" s="14"/>
      <c r="C251" s="16"/>
      <c r="D251" s="16"/>
    </row>
    <row r="252" spans="1:4" ht="17.25" customHeight="1">
      <c r="A252" s="14"/>
      <c r="C252" s="16"/>
      <c r="D252" s="16"/>
    </row>
    <row r="253" spans="1:4" ht="17.25" customHeight="1">
      <c r="A253" s="14"/>
      <c r="C253" s="16"/>
      <c r="D253" s="16"/>
    </row>
    <row r="254" spans="1:4" ht="17.25" customHeight="1">
      <c r="A254" s="14"/>
      <c r="C254" s="16"/>
      <c r="D254" s="16"/>
    </row>
    <row r="255" spans="1:4" ht="17.25" customHeight="1">
      <c r="A255" s="14"/>
      <c r="C255" s="16"/>
      <c r="D255" s="16"/>
    </row>
    <row r="256" spans="1:4" ht="17.25" customHeight="1">
      <c r="A256" s="14"/>
      <c r="C256" s="16"/>
      <c r="D256" s="16"/>
    </row>
    <row r="257" spans="1:4" ht="17.25" customHeight="1">
      <c r="A257" s="14"/>
      <c r="C257" s="16"/>
      <c r="D257" s="16"/>
    </row>
    <row r="258" spans="1:4" ht="17.25" customHeight="1">
      <c r="A258" s="14"/>
      <c r="C258" s="16"/>
      <c r="D258" s="16"/>
    </row>
    <row r="259" spans="1:4" ht="17.25" customHeight="1">
      <c r="A259" s="14"/>
      <c r="C259" s="16"/>
      <c r="D259" s="16"/>
    </row>
    <row r="260" spans="1:4" ht="17.25" customHeight="1">
      <c r="A260" s="14"/>
      <c r="C260" s="16"/>
      <c r="D260" s="16"/>
    </row>
    <row r="261" spans="1:4" ht="17.25" customHeight="1">
      <c r="A261" s="14"/>
      <c r="C261" s="16"/>
      <c r="D261" s="16"/>
    </row>
    <row r="262" spans="1:4" ht="17.25" customHeight="1">
      <c r="A262" s="14"/>
      <c r="C262" s="16"/>
      <c r="D262" s="16"/>
    </row>
    <row r="263" spans="1:4" ht="17.25" customHeight="1">
      <c r="A263" s="14"/>
      <c r="C263" s="16"/>
      <c r="D263" s="16"/>
    </row>
    <row r="264" spans="1:4" ht="17.25" customHeight="1">
      <c r="A264" s="14"/>
      <c r="C264" s="16"/>
      <c r="D264" s="16"/>
    </row>
    <row r="265" spans="1:4" ht="17.25" customHeight="1">
      <c r="A265" s="14"/>
      <c r="C265" s="16"/>
      <c r="D265" s="16"/>
    </row>
    <row r="266" spans="1:4" ht="17.25" customHeight="1">
      <c r="A266" s="14"/>
      <c r="C266" s="16"/>
      <c r="D266" s="16"/>
    </row>
    <row r="267" spans="1:4" ht="17.25" customHeight="1">
      <c r="A267" s="14"/>
      <c r="C267" s="16"/>
      <c r="D267" s="16"/>
    </row>
    <row r="268" spans="1:4" ht="17.25" customHeight="1">
      <c r="A268" s="14"/>
      <c r="C268" s="16"/>
      <c r="D268" s="16"/>
    </row>
    <row r="269" spans="1:4" ht="17.25" customHeight="1">
      <c r="A269" s="14"/>
      <c r="C269" s="16"/>
      <c r="D269" s="16"/>
    </row>
    <row r="270" spans="1:4" ht="17.25" customHeight="1">
      <c r="A270" s="14"/>
      <c r="C270" s="16"/>
      <c r="D270" s="16"/>
    </row>
    <row r="271" spans="1:4" ht="17.25" customHeight="1">
      <c r="A271" s="14"/>
      <c r="C271" s="16"/>
      <c r="D271" s="16"/>
    </row>
    <row r="272" spans="1:4" ht="17.25" customHeight="1">
      <c r="A272" s="14"/>
      <c r="C272" s="16"/>
      <c r="D272" s="16"/>
    </row>
    <row r="273" spans="1:4" ht="17.25" customHeight="1">
      <c r="A273" s="14"/>
      <c r="C273" s="16"/>
      <c r="D273" s="16"/>
    </row>
    <row r="274" spans="1:4" ht="17.25" customHeight="1">
      <c r="A274" s="14"/>
      <c r="C274" s="16"/>
      <c r="D274" s="16"/>
    </row>
    <row r="275" spans="1:4" ht="17.25" customHeight="1">
      <c r="A275" s="14"/>
      <c r="C275" s="16"/>
      <c r="D275" s="16"/>
    </row>
    <row r="276" spans="1:4" ht="17.25" customHeight="1">
      <c r="A276" s="14"/>
      <c r="C276" s="16"/>
      <c r="D276" s="16"/>
    </row>
    <row r="277" spans="1:4" ht="17.25" customHeight="1">
      <c r="A277" s="14"/>
      <c r="C277" s="16"/>
      <c r="D277" s="16"/>
    </row>
    <row r="278" spans="1:4" ht="17.25" customHeight="1">
      <c r="A278" s="14"/>
      <c r="C278" s="16"/>
      <c r="D278" s="16"/>
    </row>
    <row r="279" spans="1:4" ht="17.25" customHeight="1">
      <c r="A279" s="14"/>
      <c r="C279" s="16"/>
      <c r="D279" s="16"/>
    </row>
    <row r="280" spans="1:4" ht="17.25" customHeight="1">
      <c r="A280" s="14"/>
      <c r="C280" s="16"/>
      <c r="D280" s="16"/>
    </row>
    <row r="281" spans="1:4" ht="17.25" customHeight="1">
      <c r="A281" s="14"/>
      <c r="C281" s="16"/>
      <c r="D281" s="16"/>
    </row>
    <row r="282" spans="1:4" ht="17.25" customHeight="1">
      <c r="A282" s="14"/>
      <c r="C282" s="16"/>
      <c r="D282" s="16"/>
    </row>
    <row r="283" spans="1:4" ht="17.25" customHeight="1">
      <c r="A283" s="14"/>
      <c r="C283" s="16"/>
      <c r="D283" s="16"/>
    </row>
    <row r="284" spans="1:4" ht="17.25" customHeight="1">
      <c r="A284" s="14"/>
      <c r="C284" s="16"/>
      <c r="D284" s="16"/>
    </row>
    <row r="285" spans="1:4" ht="17.25" customHeight="1">
      <c r="A285" s="14"/>
      <c r="C285" s="16"/>
      <c r="D285" s="16"/>
    </row>
    <row r="286" spans="1:4" ht="17.25" customHeight="1">
      <c r="A286" s="14"/>
      <c r="C286" s="16"/>
      <c r="D286" s="16"/>
    </row>
    <row r="287" spans="1:4" ht="17.25" customHeight="1">
      <c r="A287" s="14"/>
      <c r="C287" s="16"/>
      <c r="D287" s="16"/>
    </row>
    <row r="288" spans="1:4" ht="17.25" customHeight="1">
      <c r="A288" s="14"/>
      <c r="C288" s="16"/>
      <c r="D288" s="16"/>
    </row>
    <row r="289" spans="1:4" ht="17.25" customHeight="1">
      <c r="A289" s="14"/>
      <c r="C289" s="16"/>
      <c r="D289" s="16"/>
    </row>
    <row r="290" spans="1:4" ht="17.25" customHeight="1">
      <c r="A290" s="14"/>
      <c r="C290" s="16"/>
      <c r="D290" s="16"/>
    </row>
    <row r="291" spans="1:4" ht="17.25" customHeight="1">
      <c r="A291" s="14"/>
      <c r="C291" s="16"/>
      <c r="D291" s="16"/>
    </row>
    <row r="292" spans="1:4" ht="17.25" customHeight="1">
      <c r="A292" s="14"/>
      <c r="C292" s="16"/>
      <c r="D292" s="16"/>
    </row>
    <row r="293" spans="1:4" ht="17.25" customHeight="1">
      <c r="A293" s="14"/>
      <c r="C293" s="16"/>
      <c r="D293" s="16"/>
    </row>
    <row r="294" spans="1:4" ht="17.25" customHeight="1">
      <c r="A294" s="14"/>
      <c r="C294" s="16"/>
      <c r="D294" s="16"/>
    </row>
    <row r="295" spans="1:4" ht="17.25" customHeight="1">
      <c r="A295" s="14"/>
      <c r="C295" s="16"/>
      <c r="D295" s="16"/>
    </row>
    <row r="296" spans="1:4" ht="17.25" customHeight="1">
      <c r="A296" s="14"/>
      <c r="C296" s="16"/>
      <c r="D296" s="16"/>
    </row>
    <row r="297" spans="1:4" ht="17.25" customHeight="1">
      <c r="A297" s="14"/>
      <c r="C297" s="16"/>
      <c r="D297" s="16"/>
    </row>
    <row r="298" spans="1:4" ht="17.25" customHeight="1">
      <c r="A298" s="14"/>
      <c r="C298" s="16"/>
      <c r="D298" s="16"/>
    </row>
    <row r="299" spans="1:4" ht="17.25" customHeight="1">
      <c r="A299" s="14"/>
      <c r="C299" s="16"/>
      <c r="D299" s="16"/>
    </row>
    <row r="300" spans="1:4" ht="17.25" customHeight="1">
      <c r="A300" s="14"/>
      <c r="C300" s="16"/>
      <c r="D300" s="16"/>
    </row>
    <row r="301" spans="1:4" ht="17.25" customHeight="1">
      <c r="A301" s="14"/>
      <c r="C301" s="16"/>
      <c r="D301" s="16"/>
    </row>
    <row r="302" spans="1:4" ht="17.25" customHeight="1">
      <c r="A302" s="14"/>
      <c r="C302" s="16"/>
      <c r="D302" s="16"/>
    </row>
    <row r="303" spans="1:4" ht="17.25" customHeight="1">
      <c r="A303" s="14"/>
      <c r="C303" s="16"/>
      <c r="D303" s="16"/>
    </row>
    <row r="304" spans="1:4" ht="17.25" customHeight="1">
      <c r="A304" s="14"/>
      <c r="C304" s="16"/>
      <c r="D304" s="16"/>
    </row>
    <row r="305" spans="1:4" ht="17.25" customHeight="1">
      <c r="A305" s="14"/>
      <c r="C305" s="16"/>
      <c r="D305" s="16"/>
    </row>
    <row r="306" spans="1:4" ht="17.25" customHeight="1">
      <c r="A306" s="14"/>
      <c r="C306" s="16"/>
      <c r="D306" s="16"/>
    </row>
    <row r="307" spans="1:4" ht="17.25" customHeight="1">
      <c r="A307" s="14"/>
      <c r="C307" s="16"/>
      <c r="D307" s="16"/>
    </row>
    <row r="308" spans="1:4" ht="17.25" customHeight="1">
      <c r="A308" s="14"/>
      <c r="C308" s="16"/>
      <c r="D308" s="16"/>
    </row>
    <row r="309" spans="1:4" ht="17.25" customHeight="1">
      <c r="A309" s="14"/>
      <c r="C309" s="16"/>
      <c r="D309" s="16"/>
    </row>
    <row r="310" spans="1:4" ht="17.25" customHeight="1">
      <c r="A310" s="14"/>
      <c r="C310" s="16"/>
      <c r="D310" s="16"/>
    </row>
    <row r="311" spans="1:4" ht="17.25" customHeight="1">
      <c r="A311" s="14"/>
      <c r="C311" s="16"/>
      <c r="D311" s="16"/>
    </row>
    <row r="312" spans="1:4" ht="17.25" customHeight="1">
      <c r="A312" s="14"/>
      <c r="C312" s="16"/>
      <c r="D312" s="16"/>
    </row>
    <row r="313" spans="1:4" ht="17.25" customHeight="1">
      <c r="A313" s="14"/>
      <c r="C313" s="16"/>
      <c r="D313" s="16"/>
    </row>
    <row r="314" spans="1:4" ht="17.25" customHeight="1">
      <c r="A314" s="14"/>
      <c r="C314" s="16"/>
      <c r="D314" s="16"/>
    </row>
    <row r="315" spans="1:4" ht="17.25" customHeight="1">
      <c r="A315" s="14"/>
      <c r="C315" s="16"/>
      <c r="D315" s="16"/>
    </row>
    <row r="316" spans="1:4" ht="17.25" customHeight="1">
      <c r="A316" s="14"/>
      <c r="C316" s="16"/>
      <c r="D316" s="16"/>
    </row>
    <row r="317" spans="1:4" ht="17.25" customHeight="1">
      <c r="A317" s="14"/>
      <c r="C317" s="16"/>
      <c r="D317" s="16"/>
    </row>
    <row r="318" spans="1:4" ht="17.25" customHeight="1">
      <c r="A318" s="14"/>
      <c r="C318" s="16"/>
      <c r="D318" s="16"/>
    </row>
    <row r="319" spans="1:4" ht="17.25" customHeight="1">
      <c r="A319" s="14"/>
      <c r="C319" s="16"/>
      <c r="D319" s="16"/>
    </row>
    <row r="320" spans="1:4" ht="17.25" customHeight="1">
      <c r="A320" s="14"/>
      <c r="C320" s="16"/>
      <c r="D320" s="16"/>
    </row>
    <row r="321" spans="1:4" ht="17.25" customHeight="1">
      <c r="A321" s="14"/>
      <c r="C321" s="16"/>
      <c r="D321" s="16"/>
    </row>
    <row r="322" spans="1:4" ht="17.25" customHeight="1">
      <c r="A322" s="14"/>
      <c r="C322" s="16"/>
      <c r="D322" s="16"/>
    </row>
    <row r="323" spans="1:4" ht="17.25" customHeight="1">
      <c r="A323" s="14"/>
      <c r="C323" s="16"/>
      <c r="D323" s="16"/>
    </row>
    <row r="324" spans="1:4" ht="17.25" customHeight="1">
      <c r="A324" s="14"/>
      <c r="C324" s="16"/>
      <c r="D324" s="16"/>
    </row>
    <row r="325" spans="1:4" ht="17.25" customHeight="1">
      <c r="A325" s="14"/>
      <c r="C325" s="16"/>
      <c r="D325" s="16"/>
    </row>
    <row r="326" spans="1:4" ht="17.25" customHeight="1">
      <c r="A326" s="14"/>
      <c r="C326" s="16"/>
      <c r="D326" s="16"/>
    </row>
    <row r="327" spans="1:4" ht="17.25" customHeight="1">
      <c r="A327" s="14"/>
      <c r="C327" s="16"/>
      <c r="D327" s="16"/>
    </row>
    <row r="328" spans="1:4" ht="17.25" customHeight="1">
      <c r="A328" s="14"/>
      <c r="C328" s="16"/>
      <c r="D328" s="16"/>
    </row>
    <row r="329" spans="1:4" ht="17.25" customHeight="1">
      <c r="A329" s="14"/>
      <c r="C329" s="16"/>
      <c r="D329" s="16"/>
    </row>
    <row r="330" spans="1:4" ht="17.25" customHeight="1">
      <c r="A330" s="14"/>
      <c r="C330" s="16"/>
      <c r="D330" s="16"/>
    </row>
    <row r="331" spans="1:4" ht="17.25" customHeight="1">
      <c r="A331" s="14"/>
      <c r="C331" s="16"/>
      <c r="D331" s="16"/>
    </row>
    <row r="332" spans="1:4" ht="17.25" customHeight="1">
      <c r="A332" s="14"/>
      <c r="C332" s="16"/>
      <c r="D332" s="16"/>
    </row>
    <row r="333" spans="1:4" ht="17.25" customHeight="1">
      <c r="A333" s="14"/>
      <c r="C333" s="16"/>
      <c r="D333" s="16"/>
    </row>
    <row r="334" spans="1:4" ht="17.25" customHeight="1">
      <c r="A334" s="14"/>
      <c r="C334" s="16"/>
      <c r="D334" s="16"/>
    </row>
    <row r="335" spans="1:4" ht="17.25" customHeight="1">
      <c r="A335" s="14"/>
      <c r="C335" s="16"/>
      <c r="D335" s="16"/>
    </row>
    <row r="336" spans="1:4" ht="17.25" customHeight="1">
      <c r="A336" s="14"/>
      <c r="C336" s="16"/>
      <c r="D336" s="16"/>
    </row>
    <row r="337" spans="1:4" ht="17.25" customHeight="1">
      <c r="A337" s="14"/>
      <c r="C337" s="16"/>
      <c r="D337" s="16"/>
    </row>
    <row r="338" spans="1:4" ht="17.25" customHeight="1">
      <c r="A338" s="14"/>
      <c r="C338" s="16"/>
      <c r="D338" s="16"/>
    </row>
    <row r="339" spans="1:4" ht="17.25" customHeight="1">
      <c r="A339" s="14"/>
      <c r="C339" s="16"/>
      <c r="D339" s="16"/>
    </row>
    <row r="340" spans="1:4" ht="17.25" customHeight="1">
      <c r="A340" s="14"/>
      <c r="C340" s="16"/>
      <c r="D340" s="16"/>
    </row>
    <row r="341" spans="1:4" ht="17.25" customHeight="1">
      <c r="A341" s="14"/>
      <c r="C341" s="16"/>
      <c r="D341" s="16"/>
    </row>
    <row r="342" spans="1:4" ht="17.25" customHeight="1">
      <c r="A342" s="14"/>
      <c r="C342" s="16"/>
      <c r="D342" s="16"/>
    </row>
    <row r="343" spans="1:4" ht="17.25" customHeight="1">
      <c r="A343" s="14"/>
      <c r="C343" s="16"/>
      <c r="D343" s="16"/>
    </row>
    <row r="344" spans="1:4" ht="17.25" customHeight="1">
      <c r="A344" s="14"/>
      <c r="C344" s="16"/>
      <c r="D344" s="16"/>
    </row>
    <row r="345" spans="1:4" ht="17.25" customHeight="1">
      <c r="A345" s="14"/>
      <c r="C345" s="16"/>
      <c r="D345" s="16"/>
    </row>
    <row r="346" spans="1:4" ht="17.25" customHeight="1">
      <c r="A346" s="14"/>
      <c r="C346" s="16"/>
      <c r="D346" s="16"/>
    </row>
    <row r="347" spans="1:4" ht="17.25" customHeight="1">
      <c r="A347" s="14"/>
      <c r="C347" s="16"/>
      <c r="D347" s="16"/>
    </row>
    <row r="348" spans="1:4" ht="17.25" customHeight="1">
      <c r="A348" s="14"/>
      <c r="C348" s="16"/>
      <c r="D348" s="16"/>
    </row>
    <row r="349" spans="1:4" ht="17.25" customHeight="1">
      <c r="A349" s="14"/>
      <c r="C349" s="16"/>
      <c r="D349" s="16"/>
    </row>
    <row r="350" spans="1:4" ht="17.25" customHeight="1">
      <c r="A350" s="14"/>
      <c r="C350" s="16"/>
      <c r="D350" s="16"/>
    </row>
    <row r="351" spans="1:4" ht="17.25" customHeight="1">
      <c r="A351" s="14"/>
      <c r="C351" s="16"/>
      <c r="D351" s="16"/>
    </row>
    <row r="352" spans="1:4" ht="17.25" customHeight="1">
      <c r="A352" s="14"/>
      <c r="C352" s="16"/>
      <c r="D352" s="16"/>
    </row>
    <row r="353" spans="1:4" ht="17.25" customHeight="1">
      <c r="A353" s="14"/>
      <c r="C353" s="16"/>
      <c r="D353" s="16"/>
    </row>
    <row r="354" spans="1:4" ht="17.25" customHeight="1">
      <c r="A354" s="14"/>
      <c r="C354" s="16"/>
      <c r="D354" s="16"/>
    </row>
    <row r="355" spans="1:4" ht="17.25" customHeight="1">
      <c r="A355" s="14"/>
      <c r="C355" s="16"/>
      <c r="D355" s="16"/>
    </row>
    <row r="356" spans="1:4" ht="17.25" customHeight="1">
      <c r="A356" s="14"/>
      <c r="C356" s="16"/>
      <c r="D356" s="16"/>
    </row>
    <row r="357" spans="1:4" ht="17.25" customHeight="1">
      <c r="A357" s="14"/>
      <c r="C357" s="16"/>
      <c r="D357" s="16"/>
    </row>
    <row r="358" spans="1:4" ht="17.25" customHeight="1">
      <c r="A358" s="14"/>
      <c r="C358" s="16"/>
      <c r="D358" s="16"/>
    </row>
    <row r="359" spans="1:4" ht="17.25" customHeight="1">
      <c r="A359" s="14"/>
      <c r="C359" s="16"/>
      <c r="D359" s="16"/>
    </row>
    <row r="360" spans="1:4" ht="17.25" customHeight="1">
      <c r="A360" s="14"/>
      <c r="C360" s="16"/>
      <c r="D360" s="16"/>
    </row>
    <row r="361" spans="1:4" ht="17.25" customHeight="1">
      <c r="A361" s="14"/>
      <c r="C361" s="16"/>
      <c r="D361" s="16"/>
    </row>
    <row r="362" spans="1:4" ht="17.25" customHeight="1">
      <c r="A362" s="14"/>
      <c r="C362" s="16"/>
      <c r="D362" s="16"/>
    </row>
    <row r="363" spans="1:4" ht="17.25" customHeight="1">
      <c r="A363" s="14"/>
      <c r="C363" s="16"/>
      <c r="D363" s="16"/>
    </row>
    <row r="364" spans="1:4" ht="17.25" customHeight="1">
      <c r="A364" s="14"/>
      <c r="C364" s="16"/>
      <c r="D364" s="16"/>
    </row>
    <row r="365" spans="1:4" ht="17.25" customHeight="1">
      <c r="A365" s="14"/>
      <c r="C365" s="16"/>
      <c r="D365" s="16"/>
    </row>
    <row r="366" spans="1:4" ht="17.25" customHeight="1">
      <c r="A366" s="14"/>
      <c r="C366" s="16"/>
      <c r="D366" s="16"/>
    </row>
    <row r="367" spans="1:4" ht="17.25" customHeight="1">
      <c r="A367" s="14"/>
      <c r="C367" s="16"/>
      <c r="D367" s="16"/>
    </row>
    <row r="368" spans="1:4" ht="17.25" customHeight="1">
      <c r="A368" s="14"/>
      <c r="C368" s="16"/>
      <c r="D368" s="16"/>
    </row>
    <row r="369" spans="1:4" ht="17.25" customHeight="1">
      <c r="A369" s="14"/>
      <c r="C369" s="16"/>
      <c r="D369" s="16"/>
    </row>
    <row r="370" spans="1:4" ht="17.25" customHeight="1">
      <c r="A370" s="14"/>
      <c r="C370" s="16"/>
      <c r="D370" s="16"/>
    </row>
    <row r="371" spans="1:4" ht="17.25" customHeight="1">
      <c r="A371" s="14"/>
      <c r="C371" s="16"/>
      <c r="D371" s="16"/>
    </row>
    <row r="372" spans="1:4" ht="17.25" customHeight="1">
      <c r="A372" s="14"/>
      <c r="C372" s="16"/>
      <c r="D372" s="16"/>
    </row>
    <row r="373" spans="1:4" ht="17.25" customHeight="1">
      <c r="A373" s="14"/>
      <c r="C373" s="16"/>
      <c r="D373" s="16"/>
    </row>
    <row r="374" spans="1:4" ht="17.25" customHeight="1">
      <c r="A374" s="14"/>
      <c r="C374" s="16"/>
      <c r="D374" s="16"/>
    </row>
    <row r="375" spans="1:4" ht="17.25" customHeight="1">
      <c r="A375" s="14"/>
      <c r="C375" s="16"/>
      <c r="D375" s="16"/>
    </row>
    <row r="376" spans="1:4" ht="17.25" customHeight="1">
      <c r="A376" s="14"/>
      <c r="C376" s="16"/>
      <c r="D376" s="16"/>
    </row>
    <row r="377" spans="1:4" ht="17.25" customHeight="1">
      <c r="A377" s="14"/>
      <c r="C377" s="16"/>
      <c r="D377" s="16"/>
    </row>
    <row r="378" spans="1:4" ht="17.25" customHeight="1">
      <c r="A378" s="14"/>
      <c r="C378" s="16"/>
      <c r="D378" s="16"/>
    </row>
    <row r="379" spans="1:4" ht="17.25" customHeight="1">
      <c r="A379" s="14"/>
      <c r="C379" s="16"/>
      <c r="D379" s="16"/>
    </row>
    <row r="380" spans="1:4" ht="17.25" customHeight="1">
      <c r="A380" s="14"/>
      <c r="C380" s="16"/>
      <c r="D380" s="16"/>
    </row>
    <row r="381" spans="1:4" ht="17.25" customHeight="1">
      <c r="A381" s="14"/>
      <c r="C381" s="16"/>
      <c r="D381" s="16"/>
    </row>
    <row r="382" spans="1:4" ht="17.25" customHeight="1">
      <c r="A382" s="14"/>
      <c r="C382" s="16"/>
      <c r="D382" s="16"/>
    </row>
    <row r="383" spans="1:4" ht="17.25" customHeight="1">
      <c r="A383" s="14"/>
      <c r="C383" s="16"/>
      <c r="D383" s="16"/>
    </row>
    <row r="384" spans="1:4" ht="17.25" customHeight="1">
      <c r="A384" s="14"/>
      <c r="C384" s="16"/>
      <c r="D384" s="16"/>
    </row>
    <row r="385" spans="1:4" ht="17.25" customHeight="1">
      <c r="A385" s="14"/>
      <c r="C385" s="16"/>
      <c r="D385" s="16"/>
    </row>
    <row r="386" spans="1:4" ht="17.25" customHeight="1">
      <c r="A386" s="14"/>
      <c r="C386" s="16"/>
      <c r="D386" s="16"/>
    </row>
    <row r="387" spans="1:4" ht="17.25" customHeight="1">
      <c r="A387" s="14"/>
      <c r="C387" s="16"/>
      <c r="D387" s="16"/>
    </row>
    <row r="388" spans="1:4" ht="17.25" customHeight="1">
      <c r="A388" s="14"/>
      <c r="C388" s="16"/>
      <c r="D388" s="16"/>
    </row>
    <row r="389" spans="1:4" ht="17.25" customHeight="1">
      <c r="A389" s="14"/>
      <c r="C389" s="16"/>
      <c r="D389" s="16"/>
    </row>
    <row r="390" spans="1:4" ht="17.25" customHeight="1">
      <c r="A390" s="14"/>
      <c r="C390" s="16"/>
      <c r="D390" s="16"/>
    </row>
    <row r="391" spans="1:4" ht="17.25" customHeight="1">
      <c r="A391" s="14"/>
      <c r="C391" s="16"/>
      <c r="D391" s="16"/>
    </row>
    <row r="392" spans="1:4" ht="17.25" customHeight="1">
      <c r="A392" s="14"/>
      <c r="C392" s="16"/>
      <c r="D392" s="16"/>
    </row>
    <row r="393" spans="1:4" ht="17.25" customHeight="1">
      <c r="A393" s="14"/>
      <c r="C393" s="16"/>
      <c r="D393" s="16"/>
    </row>
    <row r="394" spans="1:4" ht="17.25" customHeight="1">
      <c r="A394" s="14"/>
      <c r="C394" s="16"/>
      <c r="D394" s="16"/>
    </row>
    <row r="395" spans="1:4" ht="17.25" customHeight="1">
      <c r="A395" s="14"/>
      <c r="C395" s="16"/>
      <c r="D395" s="16"/>
    </row>
    <row r="396" spans="1:4" ht="17.25" customHeight="1">
      <c r="A396" s="14"/>
      <c r="C396" s="16"/>
      <c r="D396" s="16"/>
    </row>
    <row r="397" spans="1:4" ht="17.25" customHeight="1">
      <c r="A397" s="14"/>
      <c r="C397" s="16"/>
      <c r="D397" s="16"/>
    </row>
    <row r="398" spans="1:4" ht="17.25" customHeight="1">
      <c r="A398" s="14"/>
      <c r="C398" s="16"/>
      <c r="D398" s="16"/>
    </row>
    <row r="399" spans="1:4" ht="17.25" customHeight="1">
      <c r="A399" s="14"/>
      <c r="C399" s="16"/>
      <c r="D399" s="16"/>
    </row>
    <row r="400" spans="1:4" ht="17.25" customHeight="1">
      <c r="A400" s="14"/>
      <c r="C400" s="16"/>
      <c r="D400" s="16"/>
    </row>
    <row r="401" spans="1:4" ht="17.25" customHeight="1">
      <c r="A401" s="14"/>
      <c r="C401" s="16"/>
      <c r="D401" s="16"/>
    </row>
    <row r="402" spans="1:4" ht="17.25" customHeight="1">
      <c r="A402" s="14"/>
      <c r="C402" s="16"/>
      <c r="D402" s="16"/>
    </row>
    <row r="403" spans="1:4" ht="17.25" customHeight="1">
      <c r="A403" s="14"/>
      <c r="C403" s="16"/>
      <c r="D403" s="16"/>
    </row>
    <row r="404" spans="1:4" ht="17.25" customHeight="1">
      <c r="A404" s="14"/>
      <c r="C404" s="16"/>
      <c r="D404" s="16"/>
    </row>
    <row r="405" spans="1:4" ht="17.25" customHeight="1">
      <c r="A405" s="14"/>
      <c r="C405" s="16"/>
      <c r="D405" s="16"/>
    </row>
    <row r="406" spans="1:4" ht="17.25" customHeight="1">
      <c r="A406" s="14"/>
      <c r="C406" s="16"/>
      <c r="D406" s="16"/>
    </row>
    <row r="407" spans="1:4" ht="17.25" customHeight="1">
      <c r="A407" s="14"/>
      <c r="C407" s="16"/>
      <c r="D407" s="16"/>
    </row>
    <row r="408" spans="1:4" ht="17.25" customHeight="1">
      <c r="A408" s="14"/>
      <c r="C408" s="16"/>
      <c r="D408" s="16"/>
    </row>
    <row r="409" spans="1:4" ht="17.25" customHeight="1">
      <c r="A409" s="14"/>
      <c r="C409" s="16"/>
      <c r="D409" s="16"/>
    </row>
    <row r="410" spans="1:4" ht="17.25" customHeight="1">
      <c r="A410" s="14"/>
      <c r="C410" s="16"/>
      <c r="D410" s="16"/>
    </row>
    <row r="411" spans="1:4" ht="17.25" customHeight="1">
      <c r="A411" s="14"/>
      <c r="C411" s="16"/>
      <c r="D411" s="16"/>
    </row>
    <row r="412" spans="1:4" ht="17.25" customHeight="1">
      <c r="A412" s="14"/>
      <c r="C412" s="16"/>
      <c r="D412" s="16"/>
    </row>
    <row r="413" spans="1:4" ht="17.25" customHeight="1">
      <c r="A413" s="14"/>
      <c r="C413" s="16"/>
      <c r="D413" s="16"/>
    </row>
    <row r="414" spans="1:4" ht="17.25" customHeight="1">
      <c r="A414" s="14"/>
      <c r="C414" s="16"/>
      <c r="D414" s="16"/>
    </row>
    <row r="415" spans="1:4" ht="17.25" customHeight="1">
      <c r="A415" s="14"/>
      <c r="C415" s="16"/>
      <c r="D415" s="16"/>
    </row>
    <row r="416" spans="1:4" ht="17.25" customHeight="1">
      <c r="A416" s="14"/>
      <c r="C416" s="16"/>
      <c r="D416" s="16"/>
    </row>
    <row r="417" spans="1:4" ht="17.25" customHeight="1">
      <c r="A417" s="14"/>
      <c r="C417" s="16"/>
      <c r="D417" s="16"/>
    </row>
    <row r="418" spans="1:4" ht="17.25" customHeight="1">
      <c r="A418" s="14"/>
      <c r="C418" s="16"/>
      <c r="D418" s="16"/>
    </row>
    <row r="419" spans="1:4" ht="17.25" customHeight="1">
      <c r="A419" s="14"/>
      <c r="C419" s="16"/>
      <c r="D419" s="16"/>
    </row>
    <row r="420" spans="1:4" ht="17.25" customHeight="1">
      <c r="A420" s="14"/>
      <c r="C420" s="16"/>
      <c r="D420" s="16"/>
    </row>
    <row r="421" spans="1:4" ht="17.25" customHeight="1">
      <c r="A421" s="14"/>
      <c r="C421" s="16"/>
      <c r="D421" s="16"/>
    </row>
    <row r="422" spans="1:4" ht="17.25" customHeight="1">
      <c r="A422" s="14"/>
      <c r="C422" s="16"/>
      <c r="D422" s="16"/>
    </row>
    <row r="423" spans="1:4" ht="17.25" customHeight="1">
      <c r="A423" s="14"/>
      <c r="C423" s="16"/>
      <c r="D423" s="16"/>
    </row>
    <row r="424" spans="1:4" ht="17.25" customHeight="1">
      <c r="A424" s="14"/>
      <c r="C424" s="16"/>
      <c r="D424" s="16"/>
    </row>
    <row r="425" spans="1:4" ht="17.25" customHeight="1">
      <c r="A425" s="14"/>
      <c r="C425" s="16"/>
      <c r="D425" s="16"/>
    </row>
    <row r="426" spans="1:4" ht="17.25" customHeight="1">
      <c r="A426" s="14"/>
      <c r="C426" s="16"/>
      <c r="D426" s="16"/>
    </row>
    <row r="427" spans="1:4" ht="17.25" customHeight="1">
      <c r="A427" s="14"/>
      <c r="C427" s="16"/>
      <c r="D427" s="16"/>
    </row>
    <row r="428" spans="1:4" ht="17.25" customHeight="1">
      <c r="A428" s="14"/>
      <c r="C428" s="16"/>
      <c r="D428" s="16"/>
    </row>
    <row r="429" spans="1:4" ht="17.25" customHeight="1">
      <c r="A429" s="14"/>
      <c r="C429" s="16"/>
      <c r="D429" s="16"/>
    </row>
    <row r="430" spans="1:4" ht="17.25" customHeight="1">
      <c r="A430" s="14"/>
      <c r="C430" s="16"/>
      <c r="D430" s="16"/>
    </row>
    <row r="431" spans="1:4" ht="17.25" customHeight="1">
      <c r="A431" s="14"/>
      <c r="C431" s="16"/>
      <c r="D431" s="16"/>
    </row>
    <row r="432" spans="1:4" ht="17.25" customHeight="1">
      <c r="A432" s="14"/>
      <c r="C432" s="16"/>
      <c r="D432" s="16"/>
    </row>
    <row r="433" spans="1:4" ht="17.25" customHeight="1">
      <c r="A433" s="14"/>
      <c r="C433" s="16"/>
      <c r="D433" s="16"/>
    </row>
    <row r="434" spans="1:4" ht="17.25" customHeight="1">
      <c r="A434" s="14"/>
      <c r="C434" s="16"/>
      <c r="D434" s="16"/>
    </row>
    <row r="435" spans="1:4" ht="17.25" customHeight="1">
      <c r="A435" s="14"/>
      <c r="C435" s="16"/>
      <c r="D435" s="16"/>
    </row>
    <row r="436" spans="1:4" ht="17.25" customHeight="1">
      <c r="A436" s="14"/>
      <c r="C436" s="16"/>
      <c r="D436" s="16"/>
    </row>
    <row r="437" spans="1:4" ht="17.25" customHeight="1">
      <c r="A437" s="14"/>
      <c r="C437" s="16"/>
      <c r="D437" s="16"/>
    </row>
    <row r="438" spans="1:4" ht="17.25" customHeight="1">
      <c r="A438" s="14"/>
      <c r="C438" s="16"/>
      <c r="D438" s="16"/>
    </row>
    <row r="439" spans="1:4" ht="17.25" customHeight="1">
      <c r="A439" s="14"/>
      <c r="C439" s="16"/>
      <c r="D439" s="16"/>
    </row>
    <row r="440" spans="1:4" ht="17.25" customHeight="1">
      <c r="A440" s="14"/>
      <c r="C440" s="16"/>
      <c r="D440" s="16"/>
    </row>
    <row r="441" spans="1:4" ht="17.25" customHeight="1">
      <c r="A441" s="14"/>
      <c r="C441" s="16"/>
      <c r="D441" s="16"/>
    </row>
    <row r="442" spans="1:4" ht="17.25" customHeight="1">
      <c r="A442" s="14"/>
      <c r="C442" s="16"/>
      <c r="D442" s="16"/>
    </row>
    <row r="443" spans="1:4" ht="17.25" customHeight="1">
      <c r="A443" s="14"/>
      <c r="C443" s="16"/>
      <c r="D443" s="16"/>
    </row>
    <row r="444" spans="1:4" ht="17.25" customHeight="1">
      <c r="A444" s="14"/>
      <c r="C444" s="16"/>
      <c r="D444" s="16"/>
    </row>
    <row r="445" spans="1:4" ht="17.25" customHeight="1">
      <c r="A445" s="14"/>
      <c r="C445" s="16"/>
      <c r="D445" s="16"/>
    </row>
    <row r="446" spans="1:4" ht="17.25" customHeight="1">
      <c r="A446" s="14"/>
      <c r="C446" s="16"/>
      <c r="D446" s="16"/>
    </row>
    <row r="447" spans="1:4" ht="17.25" customHeight="1">
      <c r="A447" s="14"/>
      <c r="C447" s="16"/>
      <c r="D447" s="16"/>
    </row>
    <row r="448" spans="1:4" ht="17.25" customHeight="1">
      <c r="A448" s="14"/>
      <c r="C448" s="16"/>
      <c r="D448" s="16"/>
    </row>
    <row r="449" spans="1:4" ht="17.25" customHeight="1">
      <c r="A449" s="14"/>
      <c r="C449" s="16"/>
      <c r="D449" s="16"/>
    </row>
    <row r="450" spans="1:4" ht="17.25" customHeight="1">
      <c r="A450" s="14"/>
      <c r="C450" s="16"/>
      <c r="D450" s="16"/>
    </row>
    <row r="451" spans="1:4" ht="17.25" customHeight="1">
      <c r="A451" s="14"/>
      <c r="C451" s="16"/>
      <c r="D451" s="16"/>
    </row>
    <row r="452" spans="1:4" ht="17.25" customHeight="1">
      <c r="A452" s="14"/>
      <c r="C452" s="16"/>
      <c r="D452" s="16"/>
    </row>
    <row r="453" spans="1:4" ht="17.25" customHeight="1">
      <c r="A453" s="14"/>
      <c r="C453" s="16"/>
      <c r="D453" s="16"/>
    </row>
    <row r="454" spans="1:4" ht="17.25" customHeight="1">
      <c r="A454" s="14"/>
      <c r="C454" s="16"/>
      <c r="D454" s="16"/>
    </row>
    <row r="455" spans="1:4" ht="17.25" customHeight="1">
      <c r="A455" s="14"/>
      <c r="C455" s="16"/>
      <c r="D455" s="16"/>
    </row>
    <row r="456" spans="1:4" ht="17.25" customHeight="1">
      <c r="A456" s="14"/>
      <c r="C456" s="16"/>
      <c r="D456" s="16"/>
    </row>
    <row r="457" spans="1:4" ht="17.25" customHeight="1">
      <c r="A457" s="14"/>
      <c r="C457" s="16"/>
      <c r="D457" s="16"/>
    </row>
    <row r="458" spans="1:4" ht="17.25" customHeight="1">
      <c r="A458" s="14"/>
      <c r="C458" s="16"/>
      <c r="D458" s="16"/>
    </row>
    <row r="459" spans="1:4" ht="17.25" customHeight="1">
      <c r="A459" s="14"/>
      <c r="C459" s="16"/>
      <c r="D459" s="16"/>
    </row>
    <row r="460" spans="1:4" ht="17.25" customHeight="1">
      <c r="A460" s="14"/>
      <c r="C460" s="16"/>
      <c r="D460" s="16"/>
    </row>
    <row r="461" spans="1:4" ht="17.25" customHeight="1">
      <c r="A461" s="14"/>
      <c r="C461" s="16"/>
      <c r="D461" s="16"/>
    </row>
    <row r="462" spans="1:4" ht="17.25" customHeight="1">
      <c r="A462" s="14"/>
      <c r="C462" s="16"/>
      <c r="D462" s="16"/>
    </row>
    <row r="463" spans="1:4" ht="17.25" customHeight="1">
      <c r="A463" s="14"/>
      <c r="C463" s="16"/>
      <c r="D463" s="16"/>
    </row>
    <row r="464" spans="1:4" ht="17.25" customHeight="1">
      <c r="A464" s="14"/>
      <c r="C464" s="16"/>
      <c r="D464" s="16"/>
    </row>
    <row r="465" spans="1:4" ht="17.25" customHeight="1">
      <c r="A465" s="14"/>
      <c r="C465" s="16"/>
      <c r="D465" s="16"/>
    </row>
    <row r="466" spans="1:4" ht="17.25" customHeight="1">
      <c r="A466" s="14"/>
      <c r="C466" s="16"/>
      <c r="D466" s="16"/>
    </row>
    <row r="467" spans="1:4" ht="17.25" customHeight="1">
      <c r="A467" s="14"/>
      <c r="C467" s="16"/>
      <c r="D467" s="16"/>
    </row>
    <row r="468" spans="1:4" ht="17.25" customHeight="1">
      <c r="A468" s="14"/>
      <c r="C468" s="16"/>
      <c r="D468" s="16"/>
    </row>
    <row r="469" spans="1:4" ht="17.25" customHeight="1">
      <c r="A469" s="14"/>
      <c r="C469" s="16"/>
      <c r="D469" s="16"/>
    </row>
    <row r="470" spans="1:4" ht="17.25" customHeight="1">
      <c r="A470" s="14"/>
      <c r="C470" s="16"/>
      <c r="D470" s="16"/>
    </row>
    <row r="471" spans="1:4" ht="17.25" customHeight="1">
      <c r="A471" s="14"/>
      <c r="C471" s="16"/>
      <c r="D471" s="16"/>
    </row>
    <row r="472" spans="1:4" ht="17.25" customHeight="1">
      <c r="A472" s="14"/>
      <c r="C472" s="16"/>
      <c r="D472" s="16"/>
    </row>
    <row r="473" spans="1:4" ht="17.25" customHeight="1">
      <c r="A473" s="14"/>
      <c r="C473" s="16"/>
      <c r="D473" s="16"/>
    </row>
    <row r="474" spans="1:4" ht="17.25" customHeight="1">
      <c r="A474" s="14"/>
      <c r="C474" s="16"/>
      <c r="D474" s="16"/>
    </row>
    <row r="475" spans="1:4" ht="17.25" customHeight="1">
      <c r="A475" s="14"/>
      <c r="C475" s="16"/>
      <c r="D475" s="16"/>
    </row>
    <row r="476" spans="1:4" ht="17.25" customHeight="1">
      <c r="A476" s="14"/>
      <c r="C476" s="16"/>
      <c r="D476" s="16"/>
    </row>
    <row r="477" spans="1:4" ht="17.25" customHeight="1">
      <c r="A477" s="14"/>
      <c r="C477" s="16"/>
      <c r="D477" s="16"/>
    </row>
    <row r="478" spans="1:4" ht="17.25" customHeight="1">
      <c r="A478" s="14"/>
      <c r="C478" s="16"/>
      <c r="D478" s="16"/>
    </row>
    <row r="479" spans="1:4" ht="17.25" customHeight="1">
      <c r="A479" s="14"/>
      <c r="C479" s="16"/>
      <c r="D479" s="16"/>
    </row>
    <row r="480" spans="1:4" ht="17.25" customHeight="1">
      <c r="A480" s="14"/>
      <c r="C480" s="16"/>
      <c r="D480" s="16"/>
    </row>
    <row r="481" spans="1:4" ht="17.25" customHeight="1">
      <c r="A481" s="14"/>
      <c r="C481" s="16"/>
      <c r="D481" s="16"/>
    </row>
    <row r="482" spans="1:4" ht="17.25" customHeight="1">
      <c r="A482" s="14"/>
      <c r="C482" s="16"/>
      <c r="D482" s="16"/>
    </row>
    <row r="483" spans="1:4" ht="17.25" customHeight="1">
      <c r="A483" s="14"/>
      <c r="C483" s="16"/>
      <c r="D483" s="16"/>
    </row>
    <row r="484" spans="1:4" ht="17.25" customHeight="1">
      <c r="A484" s="14"/>
      <c r="C484" s="16"/>
      <c r="D484" s="16"/>
    </row>
    <row r="485" spans="1:4" ht="17.25" customHeight="1">
      <c r="A485" s="14"/>
      <c r="C485" s="16"/>
      <c r="D485" s="16"/>
    </row>
    <row r="486" spans="1:4" ht="17.25" customHeight="1">
      <c r="A486" s="14"/>
      <c r="C486" s="16"/>
      <c r="D486" s="16"/>
    </row>
    <row r="487" spans="1:4" ht="17.25" customHeight="1">
      <c r="A487" s="14"/>
      <c r="C487" s="16"/>
      <c r="D487" s="16"/>
    </row>
    <row r="488" spans="1:4" ht="17.25" customHeight="1">
      <c r="A488" s="14"/>
      <c r="C488" s="16"/>
      <c r="D488" s="16"/>
    </row>
    <row r="489" spans="1:4" ht="17.25" customHeight="1">
      <c r="A489" s="14"/>
      <c r="C489" s="16"/>
      <c r="D489" s="16"/>
    </row>
    <row r="490" spans="1:4" ht="17.25" customHeight="1">
      <c r="A490" s="14"/>
      <c r="C490" s="16"/>
      <c r="D490" s="16"/>
    </row>
    <row r="491" spans="1:4" ht="17.25" customHeight="1">
      <c r="A491" s="14"/>
      <c r="C491" s="16"/>
      <c r="D491" s="16"/>
    </row>
    <row r="492" spans="1:4" ht="17.25" customHeight="1">
      <c r="A492" s="14"/>
      <c r="C492" s="16"/>
      <c r="D492" s="16"/>
    </row>
    <row r="493" spans="1:4" ht="17.25" customHeight="1">
      <c r="A493" s="14"/>
      <c r="C493" s="16"/>
      <c r="D493" s="16"/>
    </row>
    <row r="494" spans="1:4" ht="17.25" customHeight="1">
      <c r="A494" s="14"/>
      <c r="C494" s="16"/>
      <c r="D494" s="16"/>
    </row>
    <row r="495" spans="1:4" ht="17.25" customHeight="1">
      <c r="A495" s="14"/>
      <c r="C495" s="16"/>
      <c r="D495" s="16"/>
    </row>
    <row r="496" spans="1:4" ht="17.25" customHeight="1">
      <c r="A496" s="14"/>
      <c r="C496" s="16"/>
      <c r="D496" s="16"/>
    </row>
    <row r="497" spans="1:4" ht="17.25" customHeight="1">
      <c r="A497" s="14"/>
      <c r="C497" s="16"/>
      <c r="D497" s="16"/>
    </row>
    <row r="498" spans="1:4" ht="17.25" customHeight="1">
      <c r="A498" s="14"/>
      <c r="C498" s="16"/>
      <c r="D498" s="16"/>
    </row>
    <row r="499" spans="1:4" ht="17.25" customHeight="1">
      <c r="A499" s="14"/>
      <c r="C499" s="16"/>
      <c r="D499" s="16"/>
    </row>
    <row r="500" spans="1:4" ht="17.25" customHeight="1">
      <c r="A500" s="14"/>
      <c r="C500" s="16"/>
      <c r="D500" s="16"/>
    </row>
    <row r="501" spans="1:4" ht="17.25" customHeight="1">
      <c r="A501" s="14"/>
      <c r="C501" s="16"/>
      <c r="D501" s="16"/>
    </row>
    <row r="502" spans="1:4" ht="17.25" customHeight="1">
      <c r="A502" s="14"/>
      <c r="C502" s="16"/>
      <c r="D502" s="16"/>
    </row>
    <row r="503" spans="1:4" ht="17.25" customHeight="1">
      <c r="A503" s="14"/>
      <c r="C503" s="16"/>
      <c r="D503" s="16"/>
    </row>
    <row r="504" spans="1:4" ht="17.25" customHeight="1">
      <c r="A504" s="14"/>
      <c r="C504" s="16"/>
      <c r="D504" s="16"/>
    </row>
    <row r="505" spans="1:4" ht="17.25" customHeight="1">
      <c r="A505" s="14"/>
      <c r="C505" s="16"/>
      <c r="D505" s="16"/>
    </row>
    <row r="506" spans="1:4" ht="17.25" customHeight="1">
      <c r="A506" s="14"/>
      <c r="C506" s="16"/>
      <c r="D506" s="16"/>
    </row>
    <row r="507" spans="1:4" ht="17.25" customHeight="1">
      <c r="A507" s="14"/>
      <c r="C507" s="16"/>
      <c r="D507" s="16"/>
    </row>
    <row r="508" spans="1:4" ht="17.25" customHeight="1">
      <c r="A508" s="14"/>
      <c r="C508" s="16"/>
      <c r="D508" s="16"/>
    </row>
    <row r="509" spans="1:4" ht="17.25" customHeight="1">
      <c r="A509" s="14"/>
      <c r="C509" s="16"/>
      <c r="D509" s="16"/>
    </row>
    <row r="510" spans="1:4" ht="17.25" customHeight="1">
      <c r="A510" s="14"/>
      <c r="C510" s="16"/>
      <c r="D510" s="16"/>
    </row>
    <row r="511" spans="1:4" ht="17.25" customHeight="1">
      <c r="A511" s="14"/>
      <c r="C511" s="16"/>
      <c r="D511" s="16"/>
    </row>
    <row r="512" spans="1:4" ht="17.25" customHeight="1">
      <c r="A512" s="14"/>
      <c r="C512" s="16"/>
      <c r="D512" s="16"/>
    </row>
    <row r="513" spans="1:4" ht="17.25" customHeight="1">
      <c r="A513" s="14"/>
      <c r="C513" s="16"/>
      <c r="D513" s="16"/>
    </row>
    <row r="514" spans="1:4" ht="17.25" customHeight="1">
      <c r="A514" s="14"/>
      <c r="C514" s="16"/>
      <c r="D514" s="16"/>
    </row>
    <row r="515" spans="1:4" ht="17.25" customHeight="1">
      <c r="A515" s="14"/>
      <c r="C515" s="16"/>
      <c r="D515" s="16"/>
    </row>
    <row r="516" spans="1:4" ht="17.25" customHeight="1">
      <c r="A516" s="14"/>
      <c r="C516" s="16"/>
      <c r="D516" s="16"/>
    </row>
    <row r="517" spans="1:4" ht="17.25" customHeight="1">
      <c r="A517" s="14"/>
      <c r="C517" s="16"/>
      <c r="D517" s="16"/>
    </row>
    <row r="518" spans="1:4" ht="17.25" customHeight="1">
      <c r="A518" s="14"/>
      <c r="C518" s="16"/>
      <c r="D518" s="16"/>
    </row>
    <row r="519" spans="1:4" ht="17.25" customHeight="1">
      <c r="A519" s="14"/>
      <c r="C519" s="16"/>
      <c r="D519" s="16"/>
    </row>
    <row r="520" spans="1:4" ht="17.25" customHeight="1">
      <c r="A520" s="14"/>
      <c r="C520" s="16"/>
      <c r="D520" s="16"/>
    </row>
    <row r="521" spans="1:4" ht="17.25" customHeight="1">
      <c r="A521" s="14"/>
      <c r="C521" s="16"/>
      <c r="D521" s="16"/>
    </row>
    <row r="522" spans="1:4" ht="17.25" customHeight="1">
      <c r="A522" s="14"/>
      <c r="C522" s="16"/>
      <c r="D522" s="16"/>
    </row>
    <row r="523" spans="1:4" ht="17.25" customHeight="1">
      <c r="A523" s="14"/>
      <c r="C523" s="16"/>
      <c r="D523" s="16"/>
    </row>
    <row r="524" spans="1:4" ht="17.25" customHeight="1">
      <c r="A524" s="14"/>
      <c r="C524" s="16"/>
      <c r="D524" s="16"/>
    </row>
    <row r="525" spans="1:4" ht="17.25" customHeight="1">
      <c r="A525" s="14"/>
      <c r="C525" s="16"/>
      <c r="D525" s="16"/>
    </row>
    <row r="526" spans="1:4" ht="17.25" customHeight="1">
      <c r="A526" s="14"/>
      <c r="C526" s="16"/>
      <c r="D526" s="16"/>
    </row>
    <row r="527" spans="1:4" ht="17.25" customHeight="1">
      <c r="A527" s="14"/>
      <c r="C527" s="16"/>
      <c r="D527" s="16"/>
    </row>
    <row r="528" spans="1:4" ht="17.25" customHeight="1">
      <c r="A528" s="14"/>
      <c r="C528" s="16"/>
      <c r="D528" s="16"/>
    </row>
    <row r="529" spans="1:4" ht="17.25" customHeight="1">
      <c r="A529" s="14"/>
      <c r="C529" s="16"/>
      <c r="D529" s="16"/>
    </row>
    <row r="530" spans="1:4" ht="17.25" customHeight="1">
      <c r="A530" s="14"/>
      <c r="C530" s="16"/>
      <c r="D530" s="16"/>
    </row>
    <row r="531" spans="1:4" ht="17.25" customHeight="1">
      <c r="A531" s="14"/>
      <c r="C531" s="16"/>
      <c r="D531" s="16"/>
    </row>
    <row r="532" spans="1:4" ht="17.25" customHeight="1">
      <c r="A532" s="14"/>
      <c r="C532" s="16"/>
      <c r="D532" s="16"/>
    </row>
    <row r="533" spans="1:4" ht="17.25" customHeight="1">
      <c r="A533" s="14"/>
      <c r="C533" s="16"/>
      <c r="D533" s="16"/>
    </row>
    <row r="534" spans="1:4" ht="17.25" customHeight="1">
      <c r="A534" s="14"/>
      <c r="C534" s="16"/>
      <c r="D534" s="16"/>
    </row>
    <row r="535" spans="1:4" ht="17.25" customHeight="1">
      <c r="A535" s="14"/>
      <c r="C535" s="16"/>
      <c r="D535" s="16"/>
    </row>
    <row r="536" spans="1:4" ht="17.25" customHeight="1">
      <c r="A536" s="14"/>
      <c r="C536" s="16"/>
      <c r="D536" s="16"/>
    </row>
    <row r="537" spans="1:4" ht="17.25" customHeight="1">
      <c r="A537" s="14"/>
      <c r="C537" s="16"/>
      <c r="D537" s="16"/>
    </row>
    <row r="538" spans="1:4" ht="17.25" customHeight="1">
      <c r="A538" s="14"/>
      <c r="C538" s="16"/>
      <c r="D538" s="16"/>
    </row>
    <row r="539" spans="1:4" ht="17.25" customHeight="1">
      <c r="A539" s="14"/>
      <c r="C539" s="16"/>
      <c r="D539" s="16"/>
    </row>
    <row r="540" spans="1:4" ht="17.25" customHeight="1">
      <c r="A540" s="14"/>
      <c r="C540" s="16"/>
      <c r="D540" s="16"/>
    </row>
    <row r="541" spans="1:4" ht="17.25" customHeight="1">
      <c r="A541" s="14"/>
      <c r="C541" s="16"/>
      <c r="D541" s="16"/>
    </row>
    <row r="542" spans="1:4" ht="17.25" customHeight="1">
      <c r="A542" s="14"/>
      <c r="C542" s="16"/>
      <c r="D542" s="16"/>
    </row>
    <row r="543" spans="1:4" ht="17.25" customHeight="1">
      <c r="A543" s="14"/>
      <c r="C543" s="16"/>
      <c r="D543" s="16"/>
    </row>
    <row r="544" spans="1:4" ht="17.25" customHeight="1">
      <c r="A544" s="14"/>
      <c r="C544" s="16"/>
      <c r="D544" s="16"/>
    </row>
    <row r="545" spans="1:4" ht="17.25" customHeight="1">
      <c r="A545" s="14"/>
      <c r="C545" s="16"/>
      <c r="D545" s="16"/>
    </row>
    <row r="546" spans="1:4" ht="17.25" customHeight="1">
      <c r="A546" s="14"/>
      <c r="C546" s="16"/>
      <c r="D546" s="16"/>
    </row>
    <row r="547" spans="1:4" ht="17.25" customHeight="1">
      <c r="A547" s="14"/>
      <c r="C547" s="16"/>
      <c r="D547" s="16"/>
    </row>
    <row r="548" spans="1:4" ht="17.25" customHeight="1">
      <c r="A548" s="14"/>
      <c r="C548" s="16"/>
      <c r="D548" s="16"/>
    </row>
    <row r="549" spans="1:4" ht="17.25" customHeight="1">
      <c r="A549" s="14"/>
      <c r="C549" s="16"/>
      <c r="D549" s="16"/>
    </row>
    <row r="550" spans="1:4" ht="17.25" customHeight="1">
      <c r="A550" s="14"/>
      <c r="C550" s="16"/>
      <c r="D550" s="16"/>
    </row>
    <row r="551" spans="1:4" ht="17.25" customHeight="1">
      <c r="A551" s="14"/>
      <c r="C551" s="16"/>
      <c r="D551" s="16"/>
    </row>
    <row r="552" spans="1:4" ht="17.25" customHeight="1">
      <c r="A552" s="14"/>
      <c r="C552" s="16"/>
      <c r="D552" s="16"/>
    </row>
    <row r="553" spans="1:4" ht="17.25" customHeight="1">
      <c r="A553" s="14"/>
      <c r="C553" s="16"/>
      <c r="D553" s="16"/>
    </row>
    <row r="554" spans="1:4" ht="17.25" customHeight="1">
      <c r="A554" s="14"/>
      <c r="C554" s="16"/>
      <c r="D554" s="16"/>
    </row>
    <row r="555" spans="1:4" ht="17.25" customHeight="1">
      <c r="A555" s="14"/>
      <c r="C555" s="16"/>
      <c r="D555" s="16"/>
    </row>
    <row r="556" spans="1:4" ht="17.25" customHeight="1">
      <c r="A556" s="14"/>
      <c r="C556" s="16"/>
      <c r="D556" s="16"/>
    </row>
    <row r="557" spans="1:4" ht="17.25" customHeight="1">
      <c r="A557" s="14"/>
      <c r="C557" s="16"/>
      <c r="D557" s="16"/>
    </row>
    <row r="558" spans="1:4" ht="17.25" customHeight="1">
      <c r="A558" s="14"/>
      <c r="C558" s="16"/>
      <c r="D558" s="16"/>
    </row>
    <row r="559" spans="1:4" ht="17.25" customHeight="1">
      <c r="A559" s="14"/>
      <c r="C559" s="16"/>
      <c r="D559" s="16"/>
    </row>
    <row r="560" spans="1:4" ht="17.25" customHeight="1">
      <c r="A560" s="14"/>
      <c r="C560" s="16"/>
      <c r="D560" s="16"/>
    </row>
    <row r="561" spans="1:4" ht="17.25" customHeight="1">
      <c r="A561" s="14"/>
      <c r="C561" s="16"/>
      <c r="D561" s="16"/>
    </row>
    <row r="562" spans="1:4" ht="17.25" customHeight="1">
      <c r="A562" s="14"/>
      <c r="C562" s="16"/>
      <c r="D562" s="16"/>
    </row>
    <row r="563" spans="1:4" ht="17.25" customHeight="1">
      <c r="A563" s="14"/>
      <c r="C563" s="16"/>
      <c r="D563" s="16"/>
    </row>
    <row r="564" spans="1:4" ht="17.25" customHeight="1">
      <c r="A564" s="14"/>
      <c r="C564" s="16"/>
      <c r="D564" s="16"/>
    </row>
    <row r="565" spans="1:4" ht="17.25" customHeight="1">
      <c r="A565" s="14"/>
      <c r="C565" s="16"/>
      <c r="D565" s="16"/>
    </row>
    <row r="566" spans="1:4" ht="17.25" customHeight="1">
      <c r="A566" s="14"/>
      <c r="C566" s="16"/>
      <c r="D566" s="16"/>
    </row>
    <row r="567" spans="1:4" ht="17.25" customHeight="1">
      <c r="A567" s="14"/>
      <c r="C567" s="16"/>
      <c r="D567" s="16"/>
    </row>
    <row r="568" spans="1:4" ht="17.25" customHeight="1">
      <c r="A568" s="14"/>
      <c r="C568" s="16"/>
      <c r="D568" s="16"/>
    </row>
    <row r="569" spans="1:4" ht="17.25" customHeight="1">
      <c r="A569" s="14"/>
      <c r="C569" s="16"/>
      <c r="D569" s="16"/>
    </row>
    <row r="570" spans="1:4" ht="17.25" customHeight="1">
      <c r="A570" s="14"/>
      <c r="C570" s="16"/>
      <c r="D570" s="16"/>
    </row>
    <row r="571" spans="1:4" ht="17.25" customHeight="1">
      <c r="A571" s="14"/>
      <c r="C571" s="16"/>
      <c r="D571" s="16"/>
    </row>
    <row r="572" spans="1:4" ht="17.25" customHeight="1">
      <c r="A572" s="14"/>
      <c r="C572" s="16"/>
      <c r="D572" s="16"/>
    </row>
    <row r="573" spans="1:4" ht="17.25" customHeight="1">
      <c r="A573" s="14"/>
      <c r="C573" s="16"/>
      <c r="D573" s="16"/>
    </row>
    <row r="574" spans="1:4" ht="17.25" customHeight="1">
      <c r="A574" s="14"/>
      <c r="C574" s="16"/>
      <c r="D574" s="16"/>
    </row>
    <row r="575" spans="1:4" ht="17.25" customHeight="1">
      <c r="A575" s="14"/>
      <c r="C575" s="16"/>
      <c r="D575" s="16"/>
    </row>
    <row r="576" spans="1:4" ht="17.25" customHeight="1">
      <c r="A576" s="14"/>
      <c r="C576" s="16"/>
      <c r="D576" s="16"/>
    </row>
    <row r="577" spans="1:4" ht="17.25" customHeight="1">
      <c r="A577" s="14"/>
      <c r="C577" s="16"/>
      <c r="D577" s="16"/>
    </row>
    <row r="578" spans="1:4" ht="17.25" customHeight="1">
      <c r="A578" s="14"/>
      <c r="C578" s="16"/>
      <c r="D578" s="16"/>
    </row>
    <row r="579" spans="1:4" ht="17.25" customHeight="1">
      <c r="A579" s="14"/>
      <c r="C579" s="16"/>
      <c r="D579" s="16"/>
    </row>
    <row r="580" spans="1:4" ht="17.25" customHeight="1">
      <c r="A580" s="14"/>
      <c r="C580" s="16"/>
      <c r="D580" s="16"/>
    </row>
    <row r="581" spans="1:4" ht="17.25" customHeight="1">
      <c r="A581" s="14"/>
      <c r="C581" s="16"/>
      <c r="D581" s="16"/>
    </row>
    <row r="582" spans="1:4" ht="17.25" customHeight="1">
      <c r="A582" s="14"/>
      <c r="C582" s="16"/>
      <c r="D582" s="16"/>
    </row>
    <row r="583" spans="1:4" ht="17.25" customHeight="1">
      <c r="A583" s="14"/>
      <c r="C583" s="16"/>
      <c r="D583" s="16"/>
    </row>
    <row r="584" spans="1:4" ht="17.25" customHeight="1">
      <c r="A584" s="14"/>
      <c r="C584" s="16"/>
      <c r="D584" s="16"/>
    </row>
    <row r="585" spans="1:4" ht="17.25" customHeight="1">
      <c r="A585" s="14"/>
      <c r="C585" s="16"/>
      <c r="D585" s="16"/>
    </row>
    <row r="586" spans="1:4" ht="17.25" customHeight="1">
      <c r="A586" s="14"/>
      <c r="C586" s="16"/>
      <c r="D586" s="16"/>
    </row>
    <row r="587" spans="1:4" ht="17.25" customHeight="1">
      <c r="A587" s="14"/>
      <c r="C587" s="16"/>
      <c r="D587" s="16"/>
    </row>
    <row r="588" spans="1:4" ht="17.25" customHeight="1">
      <c r="A588" s="14"/>
      <c r="C588" s="16"/>
      <c r="D588" s="16"/>
    </row>
    <row r="589" spans="1:4" ht="17.25" customHeight="1">
      <c r="A589" s="14"/>
      <c r="C589" s="16"/>
      <c r="D589" s="16"/>
    </row>
    <row r="590" spans="1:4" ht="17.25" customHeight="1">
      <c r="A590" s="14"/>
      <c r="C590" s="16"/>
      <c r="D590" s="16"/>
    </row>
    <row r="591" spans="1:4" ht="17.25" customHeight="1">
      <c r="A591" s="14"/>
      <c r="C591" s="16"/>
      <c r="D591" s="16"/>
    </row>
    <row r="592" spans="1:4" ht="17.25" customHeight="1">
      <c r="A592" s="14"/>
      <c r="C592" s="16"/>
      <c r="D592" s="16"/>
    </row>
    <row r="593" spans="1:4" ht="17.25" customHeight="1">
      <c r="A593" s="14"/>
      <c r="C593" s="16"/>
      <c r="D593" s="16"/>
    </row>
    <row r="594" spans="1:4" ht="17.25" customHeight="1">
      <c r="A594" s="14"/>
      <c r="C594" s="16"/>
      <c r="D594" s="16"/>
    </row>
    <row r="595" spans="1:4" ht="17.25" customHeight="1">
      <c r="A595" s="14"/>
      <c r="C595" s="16"/>
      <c r="D595" s="16"/>
    </row>
    <row r="596" spans="1:4" ht="17.25" customHeight="1">
      <c r="A596" s="14"/>
      <c r="C596" s="16"/>
      <c r="D596" s="16"/>
    </row>
    <row r="597" spans="1:4" ht="17.25" customHeight="1">
      <c r="A597" s="14"/>
      <c r="C597" s="16"/>
      <c r="D597" s="16"/>
    </row>
    <row r="598" spans="1:4" ht="17.25" customHeight="1">
      <c r="A598" s="14"/>
      <c r="C598" s="16"/>
      <c r="D598" s="16"/>
    </row>
    <row r="599" spans="1:4" ht="17.25" customHeight="1">
      <c r="A599" s="14"/>
      <c r="C599" s="16"/>
      <c r="D599" s="16"/>
    </row>
    <row r="600" spans="1:4" ht="17.25" customHeight="1">
      <c r="A600" s="14"/>
      <c r="C600" s="16"/>
      <c r="D600" s="16"/>
    </row>
    <row r="601" spans="1:4" ht="17.25" customHeight="1">
      <c r="A601" s="14"/>
      <c r="C601" s="16"/>
      <c r="D601" s="16"/>
    </row>
    <row r="602" spans="1:4" ht="17.25" customHeight="1">
      <c r="A602" s="14"/>
      <c r="C602" s="16"/>
      <c r="D602" s="16"/>
    </row>
    <row r="603" spans="1:4" ht="17.25" customHeight="1">
      <c r="A603" s="14"/>
      <c r="C603" s="16"/>
      <c r="D603" s="16"/>
    </row>
    <row r="604" spans="1:4" ht="17.25" customHeight="1">
      <c r="A604" s="14"/>
      <c r="C604" s="16"/>
      <c r="D604" s="16"/>
    </row>
    <row r="605" spans="1:4" ht="17.25" customHeight="1">
      <c r="A605" s="14"/>
      <c r="C605" s="16"/>
      <c r="D605" s="16"/>
    </row>
    <row r="606" spans="1:4" ht="17.25" customHeight="1">
      <c r="A606" s="14"/>
      <c r="C606" s="16"/>
      <c r="D606" s="16"/>
    </row>
    <row r="607" spans="1:4" ht="17.25" customHeight="1">
      <c r="A607" s="14"/>
      <c r="C607" s="16"/>
      <c r="D607" s="16"/>
    </row>
    <row r="608" spans="1:4" ht="17.25" customHeight="1">
      <c r="A608" s="14"/>
      <c r="C608" s="16"/>
      <c r="D608" s="16"/>
    </row>
    <row r="609" spans="1:4" ht="17.25" customHeight="1">
      <c r="A609" s="14"/>
      <c r="C609" s="16"/>
      <c r="D609" s="16"/>
    </row>
    <row r="610" spans="1:4" ht="17.25" customHeight="1">
      <c r="A610" s="14"/>
      <c r="C610" s="16"/>
      <c r="D610" s="16"/>
    </row>
    <row r="611" spans="1:4" ht="17.25" customHeight="1">
      <c r="A611" s="14"/>
      <c r="C611" s="16"/>
      <c r="D611" s="16"/>
    </row>
    <row r="612" spans="1:4" ht="17.25" customHeight="1">
      <c r="A612" s="14"/>
      <c r="C612" s="16"/>
      <c r="D612" s="16"/>
    </row>
    <row r="613" spans="1:4" ht="17.25" customHeight="1">
      <c r="A613" s="14"/>
      <c r="C613" s="16"/>
      <c r="D613" s="16"/>
    </row>
    <row r="614" spans="1:4" ht="17.25" customHeight="1">
      <c r="A614" s="14"/>
      <c r="C614" s="16"/>
      <c r="D614" s="16"/>
    </row>
    <row r="615" spans="1:4" ht="17.25" customHeight="1">
      <c r="A615" s="14"/>
      <c r="C615" s="16"/>
      <c r="D615" s="16"/>
    </row>
    <row r="616" spans="1:4" ht="17.25" customHeight="1">
      <c r="A616" s="14"/>
      <c r="C616" s="16"/>
      <c r="D616" s="16"/>
    </row>
    <row r="617" spans="1:4" ht="17.25" customHeight="1">
      <c r="A617" s="14"/>
      <c r="C617" s="16"/>
      <c r="D617" s="16"/>
    </row>
    <row r="618" spans="1:4" ht="17.25" customHeight="1">
      <c r="A618" s="14"/>
      <c r="C618" s="16"/>
      <c r="D618" s="16"/>
    </row>
    <row r="619" spans="1:4" ht="17.25" customHeight="1">
      <c r="A619" s="14"/>
      <c r="C619" s="16"/>
      <c r="D619" s="16"/>
    </row>
    <row r="620" spans="1:4" ht="17.25" customHeight="1">
      <c r="A620" s="14"/>
      <c r="C620" s="16"/>
      <c r="D620" s="16"/>
    </row>
    <row r="621" spans="1:4" ht="17.25" customHeight="1">
      <c r="A621" s="14"/>
      <c r="C621" s="16"/>
      <c r="D621" s="16"/>
    </row>
    <row r="622" spans="1:4" ht="17.25" customHeight="1">
      <c r="A622" s="14"/>
      <c r="C622" s="16"/>
      <c r="D622" s="16"/>
    </row>
    <row r="623" spans="1:4" ht="17.25" customHeight="1">
      <c r="A623" s="14"/>
      <c r="C623" s="16"/>
      <c r="D623" s="16"/>
    </row>
    <row r="624" spans="1:4" ht="17.25" customHeight="1">
      <c r="A624" s="14"/>
      <c r="C624" s="16"/>
      <c r="D624" s="16"/>
    </row>
    <row r="625" spans="1:4" ht="17.25" customHeight="1">
      <c r="A625" s="14"/>
      <c r="C625" s="16"/>
      <c r="D625" s="16"/>
    </row>
    <row r="626" spans="1:4" ht="17.25" customHeight="1">
      <c r="A626" s="14"/>
      <c r="C626" s="16"/>
      <c r="D626" s="16"/>
    </row>
    <row r="627" spans="1:4" ht="17.25" customHeight="1">
      <c r="A627" s="14"/>
      <c r="C627" s="16"/>
      <c r="D627" s="16"/>
    </row>
    <row r="628" spans="1:4" ht="17.25" customHeight="1">
      <c r="A628" s="14"/>
      <c r="C628" s="16"/>
      <c r="D628" s="16"/>
    </row>
    <row r="629" spans="1:4" ht="17.25" customHeight="1">
      <c r="A629" s="14"/>
      <c r="C629" s="16"/>
      <c r="D629" s="16"/>
    </row>
    <row r="630" spans="1:4" ht="17.25" customHeight="1">
      <c r="A630" s="14"/>
      <c r="C630" s="16"/>
      <c r="D630" s="16"/>
    </row>
    <row r="631" spans="1:4" ht="17.25" customHeight="1">
      <c r="A631" s="14"/>
      <c r="C631" s="16"/>
      <c r="D631" s="16"/>
    </row>
    <row r="632" spans="1:4" ht="17.25" customHeight="1">
      <c r="A632" s="14"/>
      <c r="C632" s="16"/>
      <c r="D632" s="16"/>
    </row>
    <row r="633" spans="1:4" ht="17.25" customHeight="1">
      <c r="A633" s="14"/>
      <c r="C633" s="16"/>
      <c r="D633" s="16"/>
    </row>
    <row r="634" spans="1:4" ht="17.25" customHeight="1">
      <c r="A634" s="14"/>
      <c r="C634" s="16"/>
      <c r="D634" s="16"/>
    </row>
    <row r="635" spans="1:4" ht="17.25" customHeight="1">
      <c r="A635" s="14"/>
      <c r="C635" s="16"/>
      <c r="D635" s="16"/>
    </row>
    <row r="636" spans="1:4" ht="17.25" customHeight="1">
      <c r="A636" s="14"/>
      <c r="C636" s="16"/>
      <c r="D636" s="16"/>
    </row>
    <row r="637" spans="1:4" ht="17.25" customHeight="1">
      <c r="A637" s="14"/>
      <c r="C637" s="16"/>
      <c r="D637" s="16"/>
    </row>
    <row r="638" spans="1:4" ht="17.25" customHeight="1">
      <c r="A638" s="14"/>
      <c r="C638" s="16"/>
      <c r="D638" s="16"/>
    </row>
    <row r="639" spans="1:4" ht="17.25" customHeight="1">
      <c r="A639" s="14"/>
      <c r="C639" s="16"/>
      <c r="D639" s="16"/>
    </row>
    <row r="640" spans="1:4" ht="17.25" customHeight="1">
      <c r="A640" s="14"/>
      <c r="C640" s="16"/>
      <c r="D640" s="16"/>
    </row>
    <row r="641" spans="1:4" ht="17.25" customHeight="1">
      <c r="A641" s="14"/>
      <c r="C641" s="16"/>
      <c r="D641" s="16"/>
    </row>
    <row r="642" spans="1:4" ht="17.25" customHeight="1">
      <c r="A642" s="14"/>
      <c r="C642" s="16"/>
      <c r="D642" s="16"/>
    </row>
    <row r="643" spans="1:4" ht="17.25" customHeight="1">
      <c r="A643" s="14"/>
      <c r="C643" s="16"/>
      <c r="D643" s="16"/>
    </row>
    <row r="644" spans="1:4" ht="17.25" customHeight="1">
      <c r="A644" s="14"/>
      <c r="C644" s="16"/>
      <c r="D644" s="16"/>
    </row>
    <row r="645" spans="1:4" ht="17.25" customHeight="1">
      <c r="A645" s="14"/>
      <c r="C645" s="16"/>
      <c r="D645" s="16"/>
    </row>
    <row r="646" spans="1:4" ht="17.25" customHeight="1">
      <c r="A646" s="14"/>
      <c r="C646" s="16"/>
      <c r="D646" s="16"/>
    </row>
    <row r="647" spans="1:4" ht="17.25" customHeight="1">
      <c r="A647" s="14"/>
      <c r="C647" s="16"/>
      <c r="D647" s="16"/>
    </row>
    <row r="648" spans="1:4" ht="17.25" customHeight="1">
      <c r="A648" s="14"/>
      <c r="C648" s="16"/>
      <c r="D648" s="16"/>
    </row>
    <row r="649" spans="1:4" ht="17.25" customHeight="1">
      <c r="A649" s="14"/>
      <c r="C649" s="16"/>
      <c r="D649" s="16"/>
    </row>
    <row r="650" spans="1:4" ht="17.25" customHeight="1">
      <c r="A650" s="14"/>
      <c r="C650" s="16"/>
      <c r="D650" s="16"/>
    </row>
    <row r="651" spans="1:4" ht="17.25" customHeight="1">
      <c r="A651" s="14"/>
      <c r="C651" s="16"/>
      <c r="D651" s="16"/>
    </row>
    <row r="652" spans="1:4" ht="17.25" customHeight="1">
      <c r="A652" s="14"/>
      <c r="C652" s="16"/>
      <c r="D652" s="16"/>
    </row>
    <row r="653" spans="1:4" ht="17.25" customHeight="1">
      <c r="A653" s="14"/>
      <c r="C653" s="16"/>
      <c r="D653" s="16"/>
    </row>
    <row r="654" spans="1:4" ht="17.25" customHeight="1">
      <c r="A654" s="14"/>
      <c r="C654" s="16"/>
      <c r="D654" s="16"/>
    </row>
    <row r="655" spans="1:4" ht="17.25" customHeight="1">
      <c r="A655" s="14"/>
      <c r="C655" s="16"/>
      <c r="D655" s="16"/>
    </row>
    <row r="656" spans="1:4" ht="17.25" customHeight="1">
      <c r="A656" s="14"/>
      <c r="C656" s="16"/>
      <c r="D656" s="16"/>
    </row>
    <row r="657" spans="1:4" ht="17.25" customHeight="1">
      <c r="A657" s="14"/>
      <c r="C657" s="16"/>
      <c r="D657" s="16"/>
    </row>
    <row r="658" spans="1:4" ht="17.25" customHeight="1">
      <c r="A658" s="14"/>
      <c r="C658" s="16"/>
      <c r="D658" s="16"/>
    </row>
    <row r="659" spans="1:4" ht="17.25" customHeight="1">
      <c r="A659" s="14"/>
      <c r="C659" s="16"/>
      <c r="D659" s="16"/>
    </row>
    <row r="660" spans="1:4" ht="17.25" customHeight="1">
      <c r="A660" s="14"/>
      <c r="C660" s="16"/>
      <c r="D660" s="16"/>
    </row>
    <row r="661" spans="1:4" ht="17.25" customHeight="1">
      <c r="A661" s="14"/>
      <c r="C661" s="16"/>
      <c r="D661" s="16"/>
    </row>
    <row r="662" spans="1:4" ht="17.25" customHeight="1">
      <c r="A662" s="14"/>
      <c r="C662" s="16"/>
      <c r="D662" s="16"/>
    </row>
    <row r="663" spans="1:4" ht="17.25" customHeight="1">
      <c r="A663" s="14"/>
      <c r="C663" s="16"/>
      <c r="D663" s="16"/>
    </row>
    <row r="664" spans="1:4" ht="17.25" customHeight="1">
      <c r="A664" s="14"/>
      <c r="C664" s="16"/>
      <c r="D664" s="16"/>
    </row>
    <row r="665" spans="1:4" ht="17.25" customHeight="1">
      <c r="A665" s="14"/>
      <c r="C665" s="16"/>
      <c r="D665" s="16"/>
    </row>
    <row r="666" spans="1:4" ht="17.25" customHeight="1">
      <c r="A666" s="14"/>
      <c r="C666" s="16"/>
      <c r="D666" s="16"/>
    </row>
    <row r="667" spans="1:4" ht="17.25" customHeight="1">
      <c r="A667" s="14"/>
      <c r="C667" s="16"/>
      <c r="D667" s="16"/>
    </row>
    <row r="668" spans="1:4" ht="17.25" customHeight="1">
      <c r="A668" s="14"/>
      <c r="C668" s="16"/>
      <c r="D668" s="16"/>
    </row>
    <row r="669" spans="1:4" ht="17.25" customHeight="1">
      <c r="A669" s="14"/>
      <c r="C669" s="16"/>
      <c r="D669" s="16"/>
    </row>
    <row r="670" spans="1:4" ht="17.25" customHeight="1">
      <c r="A670" s="14"/>
      <c r="C670" s="16"/>
      <c r="D670" s="16"/>
    </row>
    <row r="671" spans="1:4" ht="17.25" customHeight="1">
      <c r="A671" s="14"/>
      <c r="C671" s="16"/>
      <c r="D671" s="16"/>
    </row>
    <row r="672" spans="1:4" ht="17.25" customHeight="1">
      <c r="A672" s="14"/>
      <c r="C672" s="16"/>
      <c r="D672" s="16"/>
    </row>
    <row r="673" spans="1:4" ht="17.25" customHeight="1">
      <c r="A673" s="14"/>
      <c r="C673" s="16"/>
      <c r="D673" s="16"/>
    </row>
    <row r="674" spans="1:4" ht="17.25" customHeight="1">
      <c r="A674" s="14"/>
      <c r="C674" s="16"/>
      <c r="D674" s="16"/>
    </row>
    <row r="675" spans="1:4" ht="17.25" customHeight="1">
      <c r="A675" s="14"/>
      <c r="C675" s="16"/>
      <c r="D675" s="16"/>
    </row>
    <row r="676" spans="1:4" ht="17.25" customHeight="1">
      <c r="A676" s="14"/>
      <c r="C676" s="16"/>
      <c r="D676" s="16"/>
    </row>
    <row r="677" spans="1:4" ht="17.25" customHeight="1">
      <c r="A677" s="14"/>
      <c r="C677" s="16"/>
      <c r="D677" s="16"/>
    </row>
    <row r="678" spans="1:4" ht="17.25" customHeight="1">
      <c r="A678" s="14"/>
      <c r="C678" s="16"/>
      <c r="D678" s="16"/>
    </row>
    <row r="679" spans="1:4" ht="17.25" customHeight="1">
      <c r="A679" s="14"/>
      <c r="C679" s="16"/>
      <c r="D679" s="16"/>
    </row>
    <row r="680" spans="1:4" ht="17.25" customHeight="1">
      <c r="A680" s="14"/>
      <c r="C680" s="16"/>
      <c r="D680" s="16"/>
    </row>
    <row r="681" spans="1:4" ht="17.25" customHeight="1">
      <c r="A681" s="14"/>
      <c r="C681" s="16"/>
      <c r="D681" s="16"/>
    </row>
    <row r="682" spans="1:4" ht="17.25" customHeight="1">
      <c r="A682" s="14"/>
      <c r="C682" s="16"/>
      <c r="D682" s="16"/>
    </row>
    <row r="683" spans="1:4" ht="17.25" customHeight="1">
      <c r="A683" s="14"/>
      <c r="C683" s="16"/>
      <c r="D683" s="16"/>
    </row>
    <row r="684" spans="1:4" ht="17.25" customHeight="1">
      <c r="A684" s="14"/>
      <c r="C684" s="16"/>
      <c r="D684" s="16"/>
    </row>
    <row r="685" spans="1:4" ht="17.25" customHeight="1">
      <c r="A685" s="14"/>
      <c r="C685" s="16"/>
      <c r="D685" s="16"/>
    </row>
    <row r="686" spans="1:4" ht="17.25" customHeight="1">
      <c r="A686" s="14"/>
      <c r="C686" s="16"/>
      <c r="D686" s="16"/>
    </row>
    <row r="687" spans="1:4" ht="17.25" customHeight="1">
      <c r="A687" s="14"/>
      <c r="C687" s="16"/>
      <c r="D687" s="16"/>
    </row>
    <row r="688" spans="1:4" ht="17.25" customHeight="1">
      <c r="A688" s="14"/>
      <c r="C688" s="16"/>
      <c r="D688" s="16"/>
    </row>
    <row r="689" spans="1:4" ht="17.25" customHeight="1">
      <c r="A689" s="14"/>
      <c r="C689" s="16"/>
      <c r="D689" s="16"/>
    </row>
    <row r="690" spans="1:4" ht="17.25" customHeight="1">
      <c r="A690" s="14"/>
      <c r="C690" s="16"/>
      <c r="D690" s="16"/>
    </row>
    <row r="691" spans="1:4" ht="17.25" customHeight="1">
      <c r="A691" s="14"/>
      <c r="C691" s="16"/>
      <c r="D691" s="16"/>
    </row>
    <row r="692" spans="1:4" ht="17.25" customHeight="1">
      <c r="A692" s="14"/>
      <c r="C692" s="16"/>
      <c r="D692" s="16"/>
    </row>
    <row r="693" spans="1:4" ht="17.25" customHeight="1">
      <c r="A693" s="14"/>
      <c r="C693" s="16"/>
      <c r="D693" s="16"/>
    </row>
    <row r="694" spans="1:4" ht="17.25" customHeight="1">
      <c r="A694" s="14"/>
      <c r="C694" s="16"/>
      <c r="D694" s="16"/>
    </row>
    <row r="695" spans="1:4" ht="17.25" customHeight="1">
      <c r="A695" s="14"/>
      <c r="C695" s="16"/>
      <c r="D695" s="16"/>
    </row>
    <row r="696" spans="1:4" ht="17.25" customHeight="1">
      <c r="A696" s="14"/>
      <c r="C696" s="16"/>
      <c r="D696" s="16"/>
    </row>
    <row r="697" spans="1:4" ht="17.25" customHeight="1">
      <c r="A697" s="14"/>
      <c r="C697" s="16"/>
      <c r="D697" s="16"/>
    </row>
    <row r="698" spans="1:4" ht="17.25" customHeight="1">
      <c r="A698" s="14"/>
      <c r="C698" s="16"/>
      <c r="D698" s="16"/>
    </row>
    <row r="699" spans="1:4" ht="17.25" customHeight="1">
      <c r="A699" s="14"/>
      <c r="C699" s="16"/>
      <c r="D699" s="16"/>
    </row>
    <row r="700" spans="1:4" ht="17.25" customHeight="1">
      <c r="A700" s="14"/>
      <c r="C700" s="16"/>
      <c r="D700" s="16"/>
    </row>
    <row r="701" spans="1:4" ht="17.25" customHeight="1">
      <c r="A701" s="14"/>
      <c r="C701" s="16"/>
      <c r="D701" s="16"/>
    </row>
    <row r="702" spans="1:4" ht="17.25" customHeight="1">
      <c r="A702" s="14"/>
      <c r="C702" s="16"/>
      <c r="D702" s="16"/>
    </row>
    <row r="703" spans="1:4" ht="17.25" customHeight="1">
      <c r="A703" s="14"/>
      <c r="C703" s="16"/>
      <c r="D703" s="16"/>
    </row>
    <row r="704" spans="1:4" ht="17.25" customHeight="1">
      <c r="A704" s="14"/>
      <c r="C704" s="16"/>
      <c r="D704" s="16"/>
    </row>
    <row r="705" spans="1:4" ht="17.25" customHeight="1">
      <c r="A705" s="14"/>
      <c r="C705" s="16"/>
      <c r="D705" s="16"/>
    </row>
    <row r="706" spans="1:4" ht="17.25" customHeight="1">
      <c r="A706" s="14"/>
      <c r="C706" s="16"/>
      <c r="D706" s="16"/>
    </row>
    <row r="707" spans="1:4" ht="17.25" customHeight="1">
      <c r="A707" s="14"/>
      <c r="C707" s="16"/>
      <c r="D707" s="16"/>
    </row>
    <row r="708" spans="1:4" ht="17.25" customHeight="1">
      <c r="A708" s="14"/>
      <c r="C708" s="16"/>
      <c r="D708" s="16"/>
    </row>
    <row r="709" spans="1:4" ht="17.25" customHeight="1">
      <c r="A709" s="14"/>
      <c r="C709" s="16"/>
      <c r="D709" s="16"/>
    </row>
    <row r="710" spans="1:4" ht="17.25" customHeight="1">
      <c r="A710" s="14"/>
      <c r="C710" s="16"/>
      <c r="D710" s="16"/>
    </row>
    <row r="711" spans="1:4" ht="17.25" customHeight="1">
      <c r="A711" s="14"/>
      <c r="C711" s="16"/>
      <c r="D711" s="16"/>
    </row>
    <row r="712" spans="1:4" ht="17.25" customHeight="1">
      <c r="A712" s="14"/>
      <c r="C712" s="16"/>
      <c r="D712" s="16"/>
    </row>
    <row r="713" spans="1:4" ht="17.25" customHeight="1">
      <c r="A713" s="14"/>
      <c r="C713" s="16"/>
      <c r="D713" s="16"/>
    </row>
    <row r="714" spans="1:4" ht="17.25" customHeight="1">
      <c r="A714" s="14"/>
      <c r="C714" s="16"/>
      <c r="D714" s="16"/>
    </row>
    <row r="715" spans="1:4" ht="17.25" customHeight="1">
      <c r="A715" s="14"/>
      <c r="C715" s="16"/>
      <c r="D715" s="16"/>
    </row>
    <row r="716" spans="1:4" ht="17.25" customHeight="1">
      <c r="A716" s="14"/>
      <c r="C716" s="16"/>
      <c r="D716" s="16"/>
    </row>
    <row r="717" spans="1:4" ht="17.25" customHeight="1">
      <c r="A717" s="14"/>
      <c r="C717" s="16"/>
      <c r="D717" s="16"/>
    </row>
    <row r="718" spans="1:4" ht="17.25" customHeight="1">
      <c r="A718" s="14"/>
      <c r="C718" s="16"/>
      <c r="D718" s="16"/>
    </row>
    <row r="719" spans="1:4" ht="17.25" customHeight="1">
      <c r="A719" s="14"/>
      <c r="C719" s="16"/>
      <c r="D719" s="16"/>
    </row>
    <row r="720" spans="1:4" ht="17.25" customHeight="1">
      <c r="A720" s="14"/>
      <c r="C720" s="16"/>
      <c r="D720" s="16"/>
    </row>
    <row r="721" spans="1:4" ht="17.25" customHeight="1">
      <c r="A721" s="14"/>
      <c r="C721" s="16"/>
      <c r="D721" s="16"/>
    </row>
    <row r="722" spans="1:4" ht="17.25" customHeight="1">
      <c r="A722" s="14"/>
      <c r="C722" s="16"/>
      <c r="D722" s="16"/>
    </row>
    <row r="723" spans="1:4" ht="17.25" customHeight="1">
      <c r="A723" s="14"/>
      <c r="C723" s="16"/>
      <c r="D723" s="16"/>
    </row>
    <row r="724" spans="1:4" ht="17.25" customHeight="1">
      <c r="A724" s="14"/>
      <c r="C724" s="16"/>
      <c r="D724" s="16"/>
    </row>
    <row r="725" spans="1:4" ht="17.25" customHeight="1">
      <c r="A725" s="14"/>
      <c r="C725" s="16"/>
      <c r="D725" s="16"/>
    </row>
    <row r="726" spans="1:4" ht="17.25" customHeight="1">
      <c r="A726" s="14"/>
      <c r="C726" s="16"/>
      <c r="D726" s="16"/>
    </row>
    <row r="727" spans="1:4" ht="17.25" customHeight="1">
      <c r="A727" s="14"/>
      <c r="C727" s="16"/>
      <c r="D727" s="16"/>
    </row>
    <row r="728" spans="1:4" ht="17.25" customHeight="1">
      <c r="A728" s="14"/>
      <c r="C728" s="16"/>
      <c r="D728" s="16"/>
    </row>
    <row r="729" spans="1:4" ht="17.25" customHeight="1">
      <c r="A729" s="14"/>
      <c r="C729" s="16"/>
      <c r="D729" s="16"/>
    </row>
    <row r="730" spans="1:4" ht="17.25" customHeight="1">
      <c r="A730" s="14"/>
      <c r="C730" s="16"/>
      <c r="D730" s="16"/>
    </row>
    <row r="731" spans="1:4" ht="17.25" customHeight="1">
      <c r="A731" s="14"/>
      <c r="C731" s="16"/>
      <c r="D731" s="16"/>
    </row>
    <row r="732" spans="1:4" ht="17.25" customHeight="1">
      <c r="A732" s="14"/>
      <c r="C732" s="16"/>
      <c r="D732" s="16"/>
    </row>
    <row r="733" spans="1:4" ht="17.25" customHeight="1">
      <c r="A733" s="14"/>
      <c r="C733" s="16"/>
      <c r="D733" s="16"/>
    </row>
    <row r="734" spans="1:4" ht="17.25" customHeight="1">
      <c r="A734" s="14"/>
      <c r="C734" s="16"/>
      <c r="D734" s="16"/>
    </row>
    <row r="735" spans="1:4" ht="17.25" customHeight="1">
      <c r="A735" s="14"/>
      <c r="C735" s="16"/>
      <c r="D735" s="16"/>
    </row>
    <row r="736" spans="1:4" ht="17.25" customHeight="1">
      <c r="A736" s="14"/>
      <c r="C736" s="16"/>
      <c r="D736" s="16"/>
    </row>
    <row r="737" spans="1:4" ht="17.25" customHeight="1">
      <c r="A737" s="14"/>
      <c r="C737" s="16"/>
      <c r="D737" s="16"/>
    </row>
    <row r="738" spans="1:4" ht="17.25" customHeight="1">
      <c r="A738" s="14"/>
      <c r="C738" s="16"/>
      <c r="D738" s="16"/>
    </row>
    <row r="739" spans="1:4" ht="17.25" customHeight="1">
      <c r="A739" s="14"/>
      <c r="C739" s="16"/>
      <c r="D739" s="16"/>
    </row>
    <row r="740" spans="1:4" ht="17.25" customHeight="1">
      <c r="A740" s="14"/>
      <c r="C740" s="16"/>
      <c r="D740" s="16"/>
    </row>
    <row r="741" spans="1:4" ht="17.25" customHeight="1">
      <c r="A741" s="14"/>
      <c r="C741" s="16"/>
      <c r="D741" s="16"/>
    </row>
    <row r="742" spans="1:4" ht="17.25" customHeight="1">
      <c r="A742" s="14"/>
      <c r="C742" s="16"/>
      <c r="D742" s="16"/>
    </row>
    <row r="743" spans="1:4" ht="17.25" customHeight="1">
      <c r="A743" s="14"/>
      <c r="C743" s="16"/>
      <c r="D743" s="16"/>
    </row>
    <row r="744" spans="1:4" ht="17.25" customHeight="1">
      <c r="A744" s="14"/>
      <c r="C744" s="16"/>
      <c r="D744" s="16"/>
    </row>
    <row r="745" spans="1:4" ht="17.25" customHeight="1">
      <c r="A745" s="14"/>
      <c r="C745" s="16"/>
      <c r="D745" s="16"/>
    </row>
    <row r="746" spans="1:4" ht="17.25" customHeight="1">
      <c r="A746" s="14"/>
      <c r="C746" s="16"/>
      <c r="D746" s="16"/>
    </row>
    <row r="747" spans="1:4" ht="17.25" customHeight="1">
      <c r="A747" s="14"/>
      <c r="C747" s="16"/>
      <c r="D747" s="16"/>
    </row>
    <row r="748" spans="1:4" ht="17.25" customHeight="1">
      <c r="A748" s="14"/>
      <c r="C748" s="16"/>
      <c r="D748" s="16"/>
    </row>
    <row r="749" spans="1:4" ht="17.25" customHeight="1">
      <c r="A749" s="14"/>
      <c r="C749" s="16"/>
      <c r="D749" s="16"/>
    </row>
    <row r="750" spans="1:4" ht="17.25" customHeight="1">
      <c r="A750" s="14"/>
      <c r="C750" s="16"/>
      <c r="D750" s="16"/>
    </row>
    <row r="751" spans="1:4" ht="17.25" customHeight="1">
      <c r="A751" s="14"/>
      <c r="C751" s="16"/>
      <c r="D751" s="16"/>
    </row>
    <row r="752" spans="1:4" ht="17.25" customHeight="1">
      <c r="A752" s="14"/>
      <c r="C752" s="16"/>
      <c r="D752" s="16"/>
    </row>
    <row r="753" spans="1:4" ht="17.25" customHeight="1">
      <c r="A753" s="14"/>
      <c r="C753" s="16"/>
      <c r="D753" s="16"/>
    </row>
    <row r="754" spans="1:4" ht="17.25" customHeight="1">
      <c r="A754" s="14"/>
      <c r="C754" s="16"/>
      <c r="D754" s="16"/>
    </row>
    <row r="755" spans="1:4" ht="17.25" customHeight="1">
      <c r="A755" s="14"/>
      <c r="C755" s="16"/>
      <c r="D755" s="16"/>
    </row>
    <row r="756" spans="1:4" ht="17.25" customHeight="1">
      <c r="A756" s="14"/>
      <c r="C756" s="16"/>
      <c r="D756" s="16"/>
    </row>
    <row r="757" spans="1:4" ht="17.25" customHeight="1">
      <c r="A757" s="14"/>
      <c r="C757" s="16"/>
      <c r="D757" s="16"/>
    </row>
    <row r="758" spans="1:4" ht="17.25" customHeight="1">
      <c r="A758" s="14"/>
      <c r="C758" s="16"/>
      <c r="D758" s="16"/>
    </row>
    <row r="759" spans="1:4" ht="17.25" customHeight="1">
      <c r="A759" s="14"/>
      <c r="C759" s="16"/>
      <c r="D759" s="16"/>
    </row>
    <row r="760" spans="1:4" ht="17.25" customHeight="1">
      <c r="A760" s="14"/>
      <c r="C760" s="16"/>
      <c r="D760" s="16"/>
    </row>
    <row r="761" spans="1:4" ht="17.25" customHeight="1">
      <c r="A761" s="14"/>
      <c r="C761" s="16"/>
      <c r="D761" s="16"/>
    </row>
    <row r="762" spans="1:4" ht="17.25" customHeight="1">
      <c r="A762" s="14"/>
      <c r="C762" s="16"/>
      <c r="D762" s="16"/>
    </row>
    <row r="763" spans="1:4" ht="17.25" customHeight="1">
      <c r="A763" s="14"/>
      <c r="C763" s="16"/>
      <c r="D763" s="16"/>
    </row>
    <row r="764" spans="1:4" ht="17.25" customHeight="1">
      <c r="A764" s="14"/>
      <c r="C764" s="16"/>
      <c r="D764" s="16"/>
    </row>
    <row r="765" spans="1:4" ht="17.25" customHeight="1">
      <c r="A765" s="14"/>
      <c r="C765" s="16"/>
      <c r="D765" s="16"/>
    </row>
    <row r="766" spans="1:4" ht="17.25" customHeight="1">
      <c r="A766" s="14"/>
      <c r="C766" s="16"/>
      <c r="D766" s="16"/>
    </row>
    <row r="767" spans="1:4" ht="17.25" customHeight="1">
      <c r="A767" s="14"/>
      <c r="C767" s="16"/>
      <c r="D767" s="16"/>
    </row>
    <row r="768" spans="1:4" ht="17.25" customHeight="1">
      <c r="A768" s="14"/>
      <c r="C768" s="16"/>
      <c r="D768" s="16"/>
    </row>
    <row r="769" spans="1:4" ht="17.25" customHeight="1">
      <c r="A769" s="14"/>
      <c r="C769" s="16"/>
      <c r="D769" s="16"/>
    </row>
    <row r="770" spans="1:4" ht="17.25" customHeight="1">
      <c r="A770" s="14"/>
      <c r="C770" s="16"/>
      <c r="D770" s="16"/>
    </row>
    <row r="771" spans="1:4" ht="17.25" customHeight="1">
      <c r="A771" s="14"/>
      <c r="C771" s="16"/>
      <c r="D771" s="16"/>
    </row>
    <row r="772" spans="1:4" ht="17.25" customHeight="1">
      <c r="A772" s="14"/>
      <c r="C772" s="16"/>
      <c r="D772" s="16"/>
    </row>
    <row r="773" spans="1:4" ht="17.25" customHeight="1">
      <c r="A773" s="14"/>
      <c r="C773" s="16"/>
      <c r="D773" s="16"/>
    </row>
    <row r="774" spans="1:4" ht="17.25" customHeight="1">
      <c r="A774" s="14"/>
      <c r="C774" s="16"/>
      <c r="D774" s="16"/>
    </row>
    <row r="775" spans="1:4" ht="17.25" customHeight="1">
      <c r="A775" s="14"/>
      <c r="C775" s="16"/>
      <c r="D775" s="16"/>
    </row>
    <row r="776" spans="1:4" ht="17.25" customHeight="1">
      <c r="A776" s="14"/>
      <c r="C776" s="16"/>
      <c r="D776" s="16"/>
    </row>
    <row r="777" spans="1:4" ht="17.25" customHeight="1">
      <c r="A777" s="14"/>
      <c r="C777" s="16"/>
      <c r="D777" s="16"/>
    </row>
    <row r="778" spans="1:4" ht="17.25" customHeight="1">
      <c r="A778" s="14"/>
      <c r="C778" s="16"/>
      <c r="D778" s="16"/>
    </row>
    <row r="779" spans="1:4" ht="17.25" customHeight="1">
      <c r="A779" s="14"/>
      <c r="C779" s="16"/>
      <c r="D779" s="16"/>
    </row>
    <row r="780" spans="1:4" ht="17.25" customHeight="1">
      <c r="A780" s="14"/>
      <c r="C780" s="16"/>
      <c r="D780" s="16"/>
    </row>
    <row r="781" spans="1:4" ht="17.25" customHeight="1">
      <c r="A781" s="14"/>
      <c r="C781" s="16"/>
      <c r="D781" s="16"/>
    </row>
    <row r="782" spans="1:4" ht="17.25" customHeight="1">
      <c r="A782" s="14"/>
      <c r="C782" s="16"/>
      <c r="D782" s="16"/>
    </row>
    <row r="783" spans="1:4" ht="17.25" customHeight="1">
      <c r="A783" s="14"/>
      <c r="C783" s="16"/>
      <c r="D783" s="16"/>
    </row>
    <row r="784" spans="1:4" ht="17.25" customHeight="1">
      <c r="A784" s="14"/>
      <c r="C784" s="16"/>
      <c r="D784" s="16"/>
    </row>
    <row r="785" spans="1:4" ht="17.25" customHeight="1">
      <c r="A785" s="14"/>
      <c r="C785" s="16"/>
      <c r="D785" s="16"/>
    </row>
    <row r="786" spans="1:4" ht="17.25" customHeight="1">
      <c r="A786" s="14"/>
      <c r="C786" s="16"/>
      <c r="D786" s="16"/>
    </row>
    <row r="787" spans="1:4" ht="17.25" customHeight="1">
      <c r="A787" s="14"/>
      <c r="C787" s="16"/>
      <c r="D787" s="16"/>
    </row>
    <row r="788" spans="1:4" ht="17.25" customHeight="1">
      <c r="A788" s="14"/>
      <c r="C788" s="16"/>
      <c r="D788" s="16"/>
    </row>
    <row r="789" spans="1:4" ht="17.25" customHeight="1">
      <c r="A789" s="14"/>
      <c r="C789" s="16"/>
      <c r="D789" s="16"/>
    </row>
    <row r="790" spans="1:4" ht="17.25" customHeight="1">
      <c r="A790" s="14"/>
      <c r="C790" s="16"/>
      <c r="D790" s="16"/>
    </row>
    <row r="791" spans="1:4" ht="17.25" customHeight="1">
      <c r="A791" s="14"/>
      <c r="C791" s="16"/>
      <c r="D791" s="16"/>
    </row>
    <row r="792" spans="1:4" ht="17.25" customHeight="1">
      <c r="A792" s="14"/>
      <c r="C792" s="16"/>
      <c r="D792" s="16"/>
    </row>
    <row r="793" spans="1:4" ht="17.25" customHeight="1">
      <c r="A793" s="14"/>
      <c r="C793" s="16"/>
      <c r="D793" s="16"/>
    </row>
    <row r="794" spans="1:4" ht="17.25" customHeight="1">
      <c r="A794" s="14"/>
      <c r="C794" s="16"/>
      <c r="D794" s="16"/>
    </row>
    <row r="795" spans="1:4" ht="17.25" customHeight="1">
      <c r="A795" s="14"/>
      <c r="C795" s="16"/>
      <c r="D795" s="16"/>
    </row>
    <row r="796" spans="1:4" ht="17.25" customHeight="1">
      <c r="A796" s="14"/>
      <c r="C796" s="16"/>
      <c r="D796" s="16"/>
    </row>
    <row r="797" spans="1:4" ht="17.25" customHeight="1">
      <c r="A797" s="14"/>
      <c r="C797" s="16"/>
      <c r="D797" s="16"/>
    </row>
    <row r="798" spans="1:4" ht="17.25" customHeight="1">
      <c r="A798" s="14"/>
      <c r="C798" s="16"/>
      <c r="D798" s="16"/>
    </row>
    <row r="799" spans="1:4" ht="17.25" customHeight="1">
      <c r="A799" s="14"/>
      <c r="C799" s="16"/>
      <c r="D799" s="16"/>
    </row>
    <row r="800" spans="1:4" ht="17.25" customHeight="1">
      <c r="A800" s="14"/>
      <c r="C800" s="16"/>
      <c r="D800" s="16"/>
    </row>
    <row r="801" spans="1:4" ht="17.25" customHeight="1">
      <c r="A801" s="14"/>
      <c r="C801" s="16"/>
      <c r="D801" s="16"/>
    </row>
    <row r="802" spans="1:4" ht="17.25" customHeight="1">
      <c r="A802" s="14"/>
      <c r="C802" s="16"/>
      <c r="D802" s="16"/>
    </row>
    <row r="803" spans="1:4" ht="17.25" customHeight="1">
      <c r="A803" s="14"/>
      <c r="C803" s="16"/>
      <c r="D803" s="16"/>
    </row>
    <row r="804" spans="1:4" ht="17.25" customHeight="1">
      <c r="A804" s="14"/>
      <c r="C804" s="16"/>
      <c r="D804" s="16"/>
    </row>
    <row r="805" spans="1:4" ht="17.25" customHeight="1">
      <c r="A805" s="14"/>
      <c r="C805" s="16"/>
      <c r="D805" s="16"/>
    </row>
    <row r="806" spans="1:4" ht="17.25" customHeight="1">
      <c r="A806" s="14"/>
      <c r="C806" s="16"/>
      <c r="D806" s="16"/>
    </row>
    <row r="807" spans="1:4" ht="17.25" customHeight="1">
      <c r="A807" s="14"/>
      <c r="C807" s="16"/>
      <c r="D807" s="16"/>
    </row>
    <row r="808" spans="1:4" ht="17.25" customHeight="1">
      <c r="A808" s="14"/>
      <c r="C808" s="16"/>
      <c r="D808" s="16"/>
    </row>
    <row r="809" spans="1:4" ht="17.25" customHeight="1">
      <c r="A809" s="14"/>
      <c r="C809" s="16"/>
      <c r="D809" s="16"/>
    </row>
    <row r="810" spans="1:4" ht="17.25" customHeight="1">
      <c r="A810" s="14"/>
      <c r="C810" s="16"/>
      <c r="D810" s="16"/>
    </row>
    <row r="811" spans="1:4" ht="17.25" customHeight="1">
      <c r="A811" s="14"/>
      <c r="C811" s="16"/>
      <c r="D811" s="16"/>
    </row>
    <row r="812" spans="1:4" ht="17.25" customHeight="1">
      <c r="A812" s="14"/>
      <c r="C812" s="16"/>
      <c r="D812" s="16"/>
    </row>
    <row r="813" spans="1:4" ht="17.25" customHeight="1">
      <c r="A813" s="14"/>
      <c r="C813" s="16"/>
      <c r="D813" s="16"/>
    </row>
    <row r="814" spans="1:4" ht="17.25" customHeight="1">
      <c r="A814" s="14"/>
      <c r="C814" s="16"/>
      <c r="D814" s="16"/>
    </row>
    <row r="815" spans="1:4" ht="17.25" customHeight="1">
      <c r="A815" s="14"/>
      <c r="C815" s="16"/>
      <c r="D815" s="16"/>
    </row>
    <row r="816" spans="1:4" ht="17.25" customHeight="1">
      <c r="A816" s="14"/>
      <c r="C816" s="16"/>
      <c r="D816" s="16"/>
    </row>
    <row r="817" spans="1:4" ht="17.25" customHeight="1">
      <c r="A817" s="14"/>
      <c r="C817" s="16"/>
      <c r="D817" s="16"/>
    </row>
    <row r="818" spans="1:4" ht="17.25" customHeight="1">
      <c r="A818" s="14"/>
      <c r="C818" s="16"/>
      <c r="D818" s="16"/>
    </row>
    <row r="819" spans="1:4" ht="17.25" customHeight="1">
      <c r="A819" s="14"/>
      <c r="C819" s="16"/>
      <c r="D819" s="16"/>
    </row>
    <row r="820" spans="1:4" ht="17.25" customHeight="1">
      <c r="A820" s="14"/>
      <c r="C820" s="16"/>
      <c r="D820" s="16"/>
    </row>
    <row r="821" spans="1:4" ht="17.25" customHeight="1">
      <c r="A821" s="14"/>
      <c r="C821" s="16"/>
      <c r="D821" s="16"/>
    </row>
    <row r="822" spans="1:4" ht="17.25" customHeight="1">
      <c r="A822" s="14"/>
      <c r="C822" s="16"/>
      <c r="D822" s="16"/>
    </row>
    <row r="823" spans="1:4" ht="17.25" customHeight="1">
      <c r="A823" s="14"/>
      <c r="C823" s="16"/>
      <c r="D823" s="16"/>
    </row>
    <row r="824" spans="1:4" ht="17.25" customHeight="1">
      <c r="A824" s="14"/>
      <c r="C824" s="16"/>
      <c r="D824" s="16"/>
    </row>
    <row r="825" spans="1:4" ht="17.25" customHeight="1">
      <c r="A825" s="14"/>
      <c r="C825" s="16"/>
      <c r="D825" s="16"/>
    </row>
    <row r="826" spans="1:4" ht="17.25" customHeight="1">
      <c r="A826" s="14"/>
      <c r="C826" s="16"/>
      <c r="D826" s="16"/>
    </row>
    <row r="827" spans="1:4" ht="17.25" customHeight="1">
      <c r="A827" s="14"/>
      <c r="C827" s="16"/>
      <c r="D827" s="16"/>
    </row>
    <row r="828" spans="1:4" ht="17.25" customHeight="1">
      <c r="A828" s="14"/>
      <c r="C828" s="16"/>
      <c r="D828" s="16"/>
    </row>
    <row r="829" spans="1:4" ht="17.25" customHeight="1">
      <c r="A829" s="14"/>
      <c r="C829" s="16"/>
      <c r="D829" s="16"/>
    </row>
    <row r="830" spans="1:4" ht="17.25" customHeight="1">
      <c r="A830" s="14"/>
      <c r="C830" s="16"/>
      <c r="D830" s="16"/>
    </row>
    <row r="831" spans="1:4" ht="17.25" customHeight="1">
      <c r="A831" s="14"/>
      <c r="C831" s="16"/>
      <c r="D831" s="16"/>
    </row>
    <row r="832" spans="1:4" ht="17.25" customHeight="1">
      <c r="A832" s="14"/>
      <c r="C832" s="16"/>
      <c r="D832" s="16"/>
    </row>
    <row r="833" spans="1:4" ht="17.25" customHeight="1">
      <c r="A833" s="14"/>
      <c r="C833" s="16"/>
      <c r="D833" s="16"/>
    </row>
    <row r="834" spans="1:4" ht="17.25" customHeight="1">
      <c r="A834" s="14"/>
      <c r="C834" s="16"/>
      <c r="D834" s="16"/>
    </row>
    <row r="835" spans="1:4" ht="17.25" customHeight="1">
      <c r="A835" s="14"/>
      <c r="C835" s="16"/>
      <c r="D835" s="16"/>
    </row>
    <row r="836" spans="1:4" ht="17.25" customHeight="1">
      <c r="A836" s="14"/>
      <c r="C836" s="16"/>
      <c r="D836" s="16"/>
    </row>
    <row r="837" spans="1:4" ht="17.25" customHeight="1">
      <c r="A837" s="14"/>
      <c r="C837" s="16"/>
      <c r="D837" s="16"/>
    </row>
    <row r="838" spans="1:4" ht="17.25" customHeight="1">
      <c r="A838" s="14"/>
      <c r="C838" s="16"/>
      <c r="D838" s="16"/>
    </row>
    <row r="839" spans="1:4" ht="17.25" customHeight="1">
      <c r="A839" s="14"/>
      <c r="C839" s="16"/>
      <c r="D839" s="16"/>
    </row>
    <row r="840" spans="1:4" ht="17.25" customHeight="1">
      <c r="A840" s="14"/>
      <c r="C840" s="16"/>
      <c r="D840" s="16"/>
    </row>
    <row r="841" spans="1:4" ht="17.25" customHeight="1">
      <c r="A841" s="14"/>
      <c r="C841" s="16"/>
      <c r="D841" s="16"/>
    </row>
    <row r="842" spans="1:4" ht="17.25" customHeight="1">
      <c r="A842" s="14"/>
      <c r="C842" s="16"/>
      <c r="D842" s="16"/>
    </row>
    <row r="843" spans="1:4" ht="17.25" customHeight="1">
      <c r="A843" s="14"/>
      <c r="C843" s="16"/>
      <c r="D843" s="16"/>
    </row>
    <row r="844" spans="1:4" ht="17.25" customHeight="1">
      <c r="A844" s="14"/>
      <c r="C844" s="16"/>
      <c r="D844" s="16"/>
    </row>
    <row r="845" spans="1:4" ht="17.25" customHeight="1">
      <c r="A845" s="14"/>
      <c r="C845" s="16"/>
      <c r="D845" s="16"/>
    </row>
    <row r="846" spans="1:4" ht="17.25" customHeight="1">
      <c r="A846" s="14"/>
      <c r="C846" s="16"/>
      <c r="D846" s="16"/>
    </row>
    <row r="847" spans="1:4" ht="17.25" customHeight="1">
      <c r="A847" s="14"/>
      <c r="C847" s="16"/>
      <c r="D847" s="16"/>
    </row>
    <row r="848" spans="1:4" ht="17.25" customHeight="1">
      <c r="A848" s="14"/>
      <c r="C848" s="16"/>
      <c r="D848" s="16"/>
    </row>
    <row r="849" spans="1:4" ht="17.25" customHeight="1">
      <c r="A849" s="14"/>
      <c r="C849" s="16"/>
      <c r="D849" s="16"/>
    </row>
    <row r="850" spans="1:4" ht="17.25" customHeight="1">
      <c r="A850" s="14"/>
      <c r="C850" s="16"/>
      <c r="D850" s="16"/>
    </row>
    <row r="851" spans="1:4" ht="17.25" customHeight="1">
      <c r="A851" s="14"/>
      <c r="C851" s="16"/>
      <c r="D851" s="16"/>
    </row>
    <row r="852" spans="1:4" ht="17.25" customHeight="1">
      <c r="A852" s="14"/>
      <c r="C852" s="16"/>
      <c r="D852" s="16"/>
    </row>
    <row r="853" spans="1:4" ht="17.25" customHeight="1">
      <c r="A853" s="14"/>
      <c r="C853" s="16"/>
      <c r="D853" s="16"/>
    </row>
    <row r="854" spans="1:4" ht="17.25" customHeight="1">
      <c r="A854" s="14"/>
      <c r="C854" s="16"/>
      <c r="D854" s="16"/>
    </row>
    <row r="855" spans="1:4" ht="17.25" customHeight="1">
      <c r="A855" s="14"/>
      <c r="C855" s="16"/>
      <c r="D855" s="16"/>
    </row>
    <row r="856" spans="1:4" ht="17.25" customHeight="1">
      <c r="A856" s="14"/>
      <c r="C856" s="16"/>
      <c r="D856" s="16"/>
    </row>
    <row r="857" spans="1:4" ht="17.25" customHeight="1">
      <c r="A857" s="14"/>
      <c r="C857" s="16"/>
      <c r="D857" s="16"/>
    </row>
    <row r="858" spans="1:4" ht="17.25" customHeight="1">
      <c r="A858" s="14"/>
      <c r="C858" s="16"/>
      <c r="D858" s="16"/>
    </row>
    <row r="859" spans="1:4" ht="17.25" customHeight="1">
      <c r="A859" s="14"/>
      <c r="C859" s="16"/>
      <c r="D859" s="16"/>
    </row>
    <row r="860" spans="1:4" ht="17.25" customHeight="1">
      <c r="A860" s="14"/>
      <c r="C860" s="16"/>
      <c r="D860" s="16"/>
    </row>
    <row r="861" spans="1:4" ht="17.25" customHeight="1">
      <c r="A861" s="14"/>
      <c r="C861" s="16"/>
      <c r="D861" s="16"/>
    </row>
    <row r="862" spans="1:4" ht="17.25" customHeight="1">
      <c r="A862" s="14"/>
      <c r="C862" s="16"/>
      <c r="D862" s="16"/>
    </row>
    <row r="863" spans="1:4" ht="17.25" customHeight="1">
      <c r="A863" s="14"/>
      <c r="C863" s="16"/>
      <c r="D863" s="16"/>
    </row>
    <row r="864" spans="1:4" ht="17.25" customHeight="1">
      <c r="A864" s="14"/>
      <c r="C864" s="16"/>
      <c r="D864" s="16"/>
    </row>
    <row r="865" spans="1:4" ht="17.25" customHeight="1">
      <c r="A865" s="14"/>
      <c r="C865" s="16"/>
      <c r="D865" s="16"/>
    </row>
    <row r="866" spans="1:4" ht="17.25" customHeight="1">
      <c r="A866" s="14"/>
      <c r="C866" s="16"/>
      <c r="D866" s="16"/>
    </row>
    <row r="867" spans="1:4" ht="17.25" customHeight="1">
      <c r="A867" s="14"/>
      <c r="C867" s="16"/>
      <c r="D867" s="16"/>
    </row>
    <row r="868" spans="1:4" ht="17.25" customHeight="1">
      <c r="A868" s="14"/>
      <c r="C868" s="16"/>
      <c r="D868" s="16"/>
    </row>
    <row r="869" spans="1:4" ht="17.25" customHeight="1">
      <c r="A869" s="14"/>
      <c r="C869" s="16"/>
      <c r="D869" s="16"/>
    </row>
    <row r="870" spans="1:4" ht="17.25" customHeight="1">
      <c r="A870" s="14"/>
      <c r="C870" s="16"/>
      <c r="D870" s="16"/>
    </row>
    <row r="871" spans="1:4" ht="17.25" customHeight="1">
      <c r="A871" s="14"/>
      <c r="C871" s="16"/>
      <c r="D871" s="16"/>
    </row>
    <row r="872" spans="1:4" ht="17.25" customHeight="1">
      <c r="A872" s="14"/>
      <c r="C872" s="16"/>
      <c r="D872" s="16"/>
    </row>
    <row r="873" spans="1:4" ht="17.25" customHeight="1">
      <c r="A873" s="14"/>
      <c r="C873" s="16"/>
      <c r="D873" s="16"/>
    </row>
    <row r="874" spans="1:4" ht="17.25" customHeight="1">
      <c r="A874" s="14"/>
      <c r="C874" s="16"/>
      <c r="D874" s="16"/>
    </row>
    <row r="875" spans="1:4" ht="17.25" customHeight="1">
      <c r="A875" s="14"/>
      <c r="C875" s="16"/>
      <c r="D875" s="16"/>
    </row>
    <row r="876" spans="1:4" ht="17.25" customHeight="1">
      <c r="A876" s="14"/>
      <c r="C876" s="16"/>
      <c r="D876" s="16"/>
    </row>
    <row r="877" spans="1:4" ht="17.25" customHeight="1">
      <c r="A877" s="14"/>
      <c r="C877" s="16"/>
      <c r="D877" s="16"/>
    </row>
    <row r="878" spans="1:4" ht="17.25" customHeight="1">
      <c r="A878" s="14"/>
      <c r="C878" s="16"/>
      <c r="D878" s="16"/>
    </row>
    <row r="879" spans="1:4" ht="17.25" customHeight="1">
      <c r="A879" s="14"/>
      <c r="C879" s="16"/>
      <c r="D879" s="16"/>
    </row>
    <row r="880" spans="1:4" ht="17.25" customHeight="1">
      <c r="A880" s="14"/>
      <c r="C880" s="16"/>
      <c r="D880" s="16"/>
    </row>
    <row r="881" spans="1:4" ht="17.25" customHeight="1">
      <c r="A881" s="14"/>
      <c r="C881" s="16"/>
      <c r="D881" s="16"/>
    </row>
    <row r="882" spans="1:4" ht="17.25" customHeight="1">
      <c r="A882" s="14"/>
      <c r="C882" s="16"/>
      <c r="D882" s="16"/>
    </row>
    <row r="883" spans="1:4" ht="17.25" customHeight="1">
      <c r="A883" s="14"/>
      <c r="C883" s="16"/>
      <c r="D883" s="16"/>
    </row>
    <row r="884" spans="1:4" ht="17.25" customHeight="1">
      <c r="A884" s="14"/>
      <c r="C884" s="16"/>
      <c r="D884" s="16"/>
    </row>
    <row r="885" spans="1:4" ht="17.25" customHeight="1">
      <c r="A885" s="14"/>
      <c r="C885" s="16"/>
      <c r="D885" s="16"/>
    </row>
    <row r="886" spans="1:4" ht="17.25" customHeight="1">
      <c r="A886" s="14"/>
      <c r="C886" s="16"/>
      <c r="D886" s="16"/>
    </row>
    <row r="887" spans="1:4" ht="17.25" customHeight="1">
      <c r="A887" s="14"/>
      <c r="C887" s="16"/>
      <c r="D887" s="16"/>
    </row>
    <row r="888" spans="1:4" ht="17.25" customHeight="1">
      <c r="A888" s="14"/>
      <c r="C888" s="16"/>
      <c r="D888" s="16"/>
    </row>
    <row r="889" spans="1:4" ht="17.25" customHeight="1">
      <c r="A889" s="14"/>
      <c r="C889" s="16"/>
      <c r="D889" s="16"/>
    </row>
    <row r="890" spans="1:4" ht="17.25" customHeight="1">
      <c r="A890" s="14"/>
      <c r="C890" s="16"/>
      <c r="D890" s="16"/>
    </row>
    <row r="891" spans="1:4" ht="17.25" customHeight="1">
      <c r="A891" s="14"/>
      <c r="C891" s="16"/>
      <c r="D891" s="16"/>
    </row>
    <row r="892" spans="1:4" ht="17.25" customHeight="1">
      <c r="A892" s="14"/>
      <c r="C892" s="16"/>
      <c r="D892" s="16"/>
    </row>
    <row r="893" spans="1:4" ht="17.25" customHeight="1">
      <c r="A893" s="14"/>
      <c r="C893" s="16"/>
      <c r="D893" s="16"/>
    </row>
    <row r="894" spans="1:4" ht="17.25" customHeight="1">
      <c r="A894" s="14"/>
      <c r="C894" s="16"/>
      <c r="D894" s="16"/>
    </row>
    <row r="895" spans="1:4" ht="17.25" customHeight="1">
      <c r="A895" s="14"/>
      <c r="C895" s="16"/>
      <c r="D895" s="16"/>
    </row>
    <row r="896" spans="1:4" ht="17.25" customHeight="1">
      <c r="A896" s="14"/>
      <c r="C896" s="16"/>
      <c r="D896" s="16"/>
    </row>
    <row r="897" spans="1:4" ht="17.25" customHeight="1">
      <c r="A897" s="14"/>
      <c r="C897" s="16"/>
      <c r="D897" s="16"/>
    </row>
    <row r="898" spans="1:4" ht="17.25" customHeight="1">
      <c r="A898" s="14"/>
      <c r="C898" s="16"/>
      <c r="D898" s="16"/>
    </row>
    <row r="899" spans="1:4" ht="17.25" customHeight="1">
      <c r="A899" s="14"/>
      <c r="C899" s="16"/>
      <c r="D899" s="16"/>
    </row>
    <row r="900" spans="1:4" ht="17.25" customHeight="1">
      <c r="A900" s="14"/>
      <c r="C900" s="16"/>
      <c r="D900" s="16"/>
    </row>
    <row r="901" spans="1:4" ht="17.25" customHeight="1">
      <c r="A901" s="14"/>
      <c r="C901" s="16"/>
      <c r="D901" s="16"/>
    </row>
    <row r="902" spans="1:4" ht="17.25" customHeight="1">
      <c r="A902" s="14"/>
      <c r="C902" s="16"/>
      <c r="D902" s="16"/>
    </row>
    <row r="903" spans="1:4" ht="17.25" customHeight="1">
      <c r="A903" s="14"/>
      <c r="C903" s="16"/>
      <c r="D903" s="16"/>
    </row>
    <row r="904" spans="1:4" ht="17.25" customHeight="1">
      <c r="A904" s="14"/>
      <c r="C904" s="16"/>
      <c r="D904" s="16"/>
    </row>
    <row r="905" spans="1:4" ht="17.25" customHeight="1">
      <c r="A905" s="14"/>
      <c r="C905" s="16"/>
      <c r="D905" s="16"/>
    </row>
    <row r="906" spans="1:4" ht="17.25" customHeight="1">
      <c r="A906" s="14"/>
      <c r="C906" s="16"/>
      <c r="D906" s="16"/>
    </row>
    <row r="907" spans="1:4" ht="17.25" customHeight="1">
      <c r="A907" s="14"/>
      <c r="C907" s="16"/>
      <c r="D907" s="16"/>
    </row>
    <row r="908" spans="1:4" ht="17.25" customHeight="1">
      <c r="A908" s="14"/>
      <c r="C908" s="16"/>
      <c r="D908" s="16"/>
    </row>
    <row r="909" spans="1:4" ht="17.25" customHeight="1">
      <c r="A909" s="14"/>
      <c r="C909" s="16"/>
      <c r="D909" s="16"/>
    </row>
    <row r="910" spans="1:4" ht="17.25" customHeight="1">
      <c r="A910" s="14"/>
      <c r="C910" s="16"/>
      <c r="D910" s="16"/>
    </row>
    <row r="911" spans="1:4" ht="17.25" customHeight="1">
      <c r="A911" s="14"/>
      <c r="C911" s="16"/>
      <c r="D911" s="16"/>
    </row>
    <row r="912" spans="1:4" ht="17.25" customHeight="1">
      <c r="A912" s="14"/>
      <c r="C912" s="16"/>
      <c r="D912" s="16"/>
    </row>
    <row r="913" spans="1:4" ht="17.25" customHeight="1">
      <c r="A913" s="14"/>
      <c r="C913" s="16"/>
      <c r="D913" s="16"/>
    </row>
    <row r="914" spans="1:4" ht="17.25" customHeight="1">
      <c r="A914" s="14"/>
      <c r="C914" s="16"/>
      <c r="D914" s="16"/>
    </row>
    <row r="915" spans="1:4" ht="17.25" customHeight="1">
      <c r="A915" s="14"/>
      <c r="C915" s="16"/>
      <c r="D915" s="16"/>
    </row>
    <row r="916" spans="1:4" ht="17.25" customHeight="1">
      <c r="A916" s="14"/>
      <c r="C916" s="16"/>
      <c r="D916" s="16"/>
    </row>
    <row r="917" spans="1:4" ht="17.25" customHeight="1">
      <c r="A917" s="14"/>
      <c r="C917" s="16"/>
      <c r="D917" s="16"/>
    </row>
    <row r="918" spans="1:4" ht="17.25" customHeight="1">
      <c r="A918" s="14"/>
      <c r="C918" s="16"/>
      <c r="D918" s="16"/>
    </row>
    <row r="919" spans="1:4" ht="17.25" customHeight="1">
      <c r="A919" s="14"/>
      <c r="C919" s="16"/>
      <c r="D919" s="16"/>
    </row>
    <row r="920" spans="1:4" ht="17.25" customHeight="1">
      <c r="A920" s="14"/>
      <c r="C920" s="16"/>
      <c r="D920" s="16"/>
    </row>
    <row r="921" spans="1:4" ht="17.25" customHeight="1">
      <c r="A921" s="14"/>
      <c r="C921" s="16"/>
      <c r="D921" s="16"/>
    </row>
    <row r="922" spans="1:4" ht="17.25" customHeight="1">
      <c r="A922" s="14"/>
      <c r="C922" s="16"/>
      <c r="D922" s="16"/>
    </row>
    <row r="923" spans="1:4" ht="17.25" customHeight="1">
      <c r="A923" s="14"/>
      <c r="C923" s="16"/>
      <c r="D923" s="16"/>
    </row>
    <row r="924" spans="1:4" ht="17.25" customHeight="1">
      <c r="A924" s="14"/>
      <c r="C924" s="16"/>
      <c r="D924" s="16"/>
    </row>
    <row r="925" spans="1:4" ht="17.25" customHeight="1">
      <c r="A925" s="14"/>
      <c r="C925" s="16"/>
      <c r="D925" s="16"/>
    </row>
    <row r="926" spans="1:4" ht="17.25" customHeight="1">
      <c r="A926" s="14"/>
      <c r="C926" s="16"/>
      <c r="D926" s="16"/>
    </row>
    <row r="927" spans="1:4" ht="17.25" customHeight="1">
      <c r="A927" s="14"/>
      <c r="C927" s="16"/>
      <c r="D927" s="16"/>
    </row>
    <row r="928" spans="1:4" ht="17.25" customHeight="1">
      <c r="A928" s="14"/>
      <c r="C928" s="16"/>
      <c r="D928" s="16"/>
    </row>
    <row r="929" spans="1:4" ht="17.25" customHeight="1">
      <c r="A929" s="14"/>
      <c r="C929" s="16"/>
      <c r="D929" s="16"/>
    </row>
    <row r="930" spans="1:4" ht="17.25" customHeight="1">
      <c r="A930" s="14"/>
      <c r="C930" s="16"/>
      <c r="D930" s="16"/>
    </row>
    <row r="931" spans="1:4" ht="17.25" customHeight="1">
      <c r="A931" s="14"/>
      <c r="C931" s="16"/>
      <c r="D931" s="16"/>
    </row>
    <row r="932" spans="1:4" ht="17.25" customHeight="1">
      <c r="A932" s="14"/>
      <c r="C932" s="16"/>
      <c r="D932" s="16"/>
    </row>
    <row r="933" spans="1:4" ht="17.25" customHeight="1">
      <c r="A933" s="14"/>
      <c r="C933" s="16"/>
      <c r="D933" s="16"/>
    </row>
    <row r="934" spans="1:4" ht="17.25" customHeight="1">
      <c r="A934" s="14"/>
      <c r="C934" s="16"/>
      <c r="D934" s="16"/>
    </row>
    <row r="935" spans="1:4" ht="17.25" customHeight="1">
      <c r="A935" s="14"/>
      <c r="C935" s="16"/>
      <c r="D935" s="16"/>
    </row>
    <row r="936" spans="1:4" ht="17.25" customHeight="1">
      <c r="A936" s="14"/>
      <c r="C936" s="16"/>
      <c r="D936" s="16"/>
    </row>
    <row r="937" spans="1:4" ht="17.25" customHeight="1">
      <c r="A937" s="14"/>
      <c r="C937" s="16"/>
      <c r="D937" s="16"/>
    </row>
    <row r="938" spans="1:4" ht="17.25" customHeight="1">
      <c r="A938" s="14"/>
      <c r="C938" s="16"/>
      <c r="D938" s="16"/>
    </row>
    <row r="939" spans="1:4" ht="17.25" customHeight="1">
      <c r="A939" s="14"/>
      <c r="C939" s="16"/>
      <c r="D939" s="16"/>
    </row>
    <row r="940" spans="1:4" ht="17.25" customHeight="1">
      <c r="A940" s="14"/>
      <c r="C940" s="16"/>
      <c r="D940" s="16"/>
    </row>
    <row r="941" spans="1:4" ht="17.25" customHeight="1">
      <c r="A941" s="14"/>
      <c r="C941" s="16"/>
      <c r="D941" s="16"/>
    </row>
    <row r="942" spans="1:4" ht="17.25" customHeight="1">
      <c r="A942" s="14"/>
      <c r="C942" s="16"/>
      <c r="D942" s="16"/>
    </row>
    <row r="943" spans="1:4" ht="17.25" customHeight="1">
      <c r="A943" s="14"/>
      <c r="C943" s="16"/>
      <c r="D943" s="16"/>
    </row>
    <row r="944" spans="1:4" ht="17.25" customHeight="1">
      <c r="A944" s="14"/>
      <c r="C944" s="16"/>
      <c r="D944" s="16"/>
    </row>
    <row r="945" spans="1:4" ht="17.25" customHeight="1">
      <c r="A945" s="14"/>
      <c r="C945" s="16"/>
      <c r="D945" s="16"/>
    </row>
    <row r="946" spans="1:4" ht="17.25" customHeight="1">
      <c r="A946" s="14"/>
      <c r="C946" s="16"/>
      <c r="D946" s="16"/>
    </row>
    <row r="947" spans="1:4" ht="17.25" customHeight="1">
      <c r="A947" s="14"/>
      <c r="C947" s="16"/>
      <c r="D947" s="16"/>
    </row>
    <row r="948" spans="1:4" ht="17.25" customHeight="1">
      <c r="A948" s="14"/>
      <c r="C948" s="16"/>
      <c r="D948" s="16"/>
    </row>
    <row r="949" spans="1:4" ht="17.25" customHeight="1">
      <c r="A949" s="14"/>
      <c r="C949" s="16"/>
      <c r="D949" s="16"/>
    </row>
    <row r="950" spans="1:4" ht="17.25" customHeight="1">
      <c r="A950" s="14"/>
      <c r="C950" s="16"/>
      <c r="D950" s="16"/>
    </row>
    <row r="951" spans="1:4" ht="17.25" customHeight="1">
      <c r="A951" s="14"/>
      <c r="C951" s="16"/>
      <c r="D951" s="16"/>
    </row>
    <row r="952" spans="1:4" ht="17.25" customHeight="1">
      <c r="A952" s="14"/>
      <c r="C952" s="16"/>
      <c r="D952" s="16"/>
    </row>
    <row r="953" spans="1:4" ht="17.25" customHeight="1">
      <c r="A953" s="14"/>
      <c r="C953" s="16"/>
      <c r="D953" s="16"/>
    </row>
    <row r="954" spans="1:4" ht="17.25" customHeight="1">
      <c r="A954" s="14"/>
      <c r="C954" s="16"/>
      <c r="D954" s="16"/>
    </row>
    <row r="955" spans="1:4" ht="17.25" customHeight="1">
      <c r="A955" s="14"/>
      <c r="C955" s="16"/>
      <c r="D955" s="16"/>
    </row>
    <row r="956" spans="1:4" ht="17.25" customHeight="1">
      <c r="A956" s="14"/>
      <c r="C956" s="16"/>
      <c r="D956" s="16"/>
    </row>
    <row r="957" spans="1:4" ht="17.25" customHeight="1">
      <c r="A957" s="14"/>
      <c r="C957" s="16"/>
      <c r="D957" s="16"/>
    </row>
    <row r="958" spans="1:4" ht="17.25" customHeight="1">
      <c r="A958" s="14"/>
      <c r="C958" s="16"/>
      <c r="D958" s="16"/>
    </row>
    <row r="959" spans="1:4" ht="17.25" customHeight="1">
      <c r="A959" s="14"/>
      <c r="C959" s="16"/>
      <c r="D959" s="16"/>
    </row>
    <row r="960" spans="1:4" ht="17.25" customHeight="1">
      <c r="A960" s="14"/>
      <c r="C960" s="16"/>
      <c r="D960" s="16"/>
    </row>
    <row r="961" spans="1:4" ht="17.25" customHeight="1">
      <c r="A961" s="14"/>
      <c r="C961" s="16"/>
      <c r="D961" s="16"/>
    </row>
    <row r="962" spans="1:4" ht="17.25" customHeight="1">
      <c r="A962" s="14"/>
      <c r="C962" s="16"/>
      <c r="D962" s="16"/>
    </row>
    <row r="963" spans="1:4" ht="17.25" customHeight="1">
      <c r="A963" s="14"/>
      <c r="C963" s="16"/>
      <c r="D963" s="16"/>
    </row>
    <row r="964" spans="1:4" ht="17.25" customHeight="1">
      <c r="A964" s="14"/>
      <c r="C964" s="16"/>
      <c r="D964" s="16"/>
    </row>
    <row r="965" spans="1:4" ht="17.25" customHeight="1">
      <c r="A965" s="14"/>
      <c r="C965" s="16"/>
      <c r="D965" s="16"/>
    </row>
    <row r="966" spans="1:4" ht="17.25" customHeight="1">
      <c r="A966" s="14"/>
      <c r="C966" s="16"/>
      <c r="D966" s="16"/>
    </row>
    <row r="967" spans="1:4" ht="17.25" customHeight="1">
      <c r="A967" s="14"/>
      <c r="C967" s="16"/>
      <c r="D967" s="16"/>
    </row>
    <row r="968" spans="1:4" ht="17.25" customHeight="1">
      <c r="A968" s="14"/>
      <c r="C968" s="16"/>
      <c r="D968" s="16"/>
    </row>
    <row r="969" spans="1:4" ht="17.25" customHeight="1">
      <c r="A969" s="14"/>
      <c r="C969" s="16"/>
      <c r="D969" s="16"/>
    </row>
    <row r="970" spans="1:4" ht="17.25" customHeight="1">
      <c r="A970" s="14"/>
      <c r="C970" s="16"/>
      <c r="D970" s="16"/>
    </row>
    <row r="971" spans="1:4" ht="17.25" customHeight="1">
      <c r="A971" s="14"/>
      <c r="C971" s="16"/>
      <c r="D971" s="16"/>
    </row>
    <row r="972" spans="1:4" ht="17.25" customHeight="1">
      <c r="A972" s="14"/>
      <c r="C972" s="16"/>
      <c r="D972" s="16"/>
    </row>
    <row r="973" spans="1:4" ht="17.25" customHeight="1">
      <c r="A973" s="14"/>
      <c r="C973" s="16"/>
      <c r="D973" s="16"/>
    </row>
    <row r="974" spans="1:4" ht="17.25" customHeight="1">
      <c r="A974" s="14"/>
      <c r="C974" s="16"/>
      <c r="D974" s="16"/>
    </row>
    <row r="975" spans="1:4" ht="17.25" customHeight="1">
      <c r="A975" s="14"/>
      <c r="C975" s="16"/>
      <c r="D975" s="16"/>
    </row>
    <row r="976" spans="1:4" ht="17.25" customHeight="1">
      <c r="A976" s="14"/>
      <c r="C976" s="16"/>
      <c r="D976" s="16"/>
    </row>
    <row r="977" spans="1:4" ht="17.25" customHeight="1">
      <c r="A977" s="14"/>
      <c r="C977" s="16"/>
      <c r="D977" s="16"/>
    </row>
    <row r="978" spans="1:4" ht="17.25" customHeight="1">
      <c r="A978" s="14"/>
      <c r="C978" s="16"/>
      <c r="D978" s="16"/>
    </row>
    <row r="979" spans="1:4" ht="17.25" customHeight="1">
      <c r="A979" s="14"/>
      <c r="C979" s="16"/>
      <c r="D979" s="16"/>
    </row>
    <row r="980" spans="1:4" ht="17.25" customHeight="1">
      <c r="A980" s="14"/>
      <c r="C980" s="16"/>
      <c r="D980" s="16"/>
    </row>
    <row r="981" spans="1:4" ht="17.25" customHeight="1">
      <c r="A981" s="14"/>
      <c r="C981" s="16"/>
      <c r="D981" s="16"/>
    </row>
    <row r="982" spans="1:4" ht="17.25" customHeight="1">
      <c r="A982" s="14"/>
      <c r="C982" s="16"/>
      <c r="D982" s="16"/>
    </row>
    <row r="983" spans="1:4" ht="17.25" customHeight="1">
      <c r="A983" s="14"/>
      <c r="C983" s="16"/>
      <c r="D983" s="16"/>
    </row>
    <row r="984" spans="1:4" ht="17.25" customHeight="1">
      <c r="A984" s="14"/>
      <c r="C984" s="16"/>
      <c r="D984" s="16"/>
    </row>
    <row r="985" spans="1:4" ht="17.25" customHeight="1">
      <c r="A985" s="14"/>
      <c r="C985" s="16"/>
      <c r="D985" s="16"/>
    </row>
    <row r="986" spans="1:4" ht="17.25" customHeight="1">
      <c r="A986" s="14"/>
      <c r="C986" s="16"/>
      <c r="D986" s="16"/>
    </row>
    <row r="987" spans="1:4" ht="17.25" customHeight="1">
      <c r="A987" s="14"/>
      <c r="C987" s="16"/>
      <c r="D987" s="16"/>
    </row>
    <row r="988" spans="1:4" ht="17.25" customHeight="1">
      <c r="A988" s="14"/>
      <c r="C988" s="16"/>
      <c r="D988" s="16"/>
    </row>
    <row r="989" spans="1:4" ht="17.25" customHeight="1">
      <c r="A989" s="14"/>
      <c r="C989" s="16"/>
      <c r="D989" s="16"/>
    </row>
    <row r="990" spans="1:4" ht="17.25" customHeight="1">
      <c r="A990" s="14"/>
      <c r="C990" s="16"/>
      <c r="D990" s="16"/>
    </row>
    <row r="991" spans="1:4" ht="17.25" customHeight="1">
      <c r="A991" s="14"/>
      <c r="C991" s="16"/>
      <c r="D991" s="16"/>
    </row>
    <row r="992" spans="1:4" ht="17.25" customHeight="1">
      <c r="A992" s="14"/>
      <c r="C992" s="16"/>
      <c r="D992" s="16"/>
    </row>
    <row r="993" spans="1:4" ht="17.25" customHeight="1">
      <c r="A993" s="14"/>
      <c r="C993" s="16"/>
      <c r="D993" s="16"/>
    </row>
    <row r="994" spans="1:4" ht="17.25" customHeight="1">
      <c r="A994" s="14"/>
      <c r="C994" s="16"/>
      <c r="D994" s="16"/>
    </row>
    <row r="995" spans="1:4" ht="17.25" customHeight="1">
      <c r="A995" s="14"/>
      <c r="C995" s="16"/>
      <c r="D995" s="16"/>
    </row>
    <row r="996" spans="1:4" ht="17.25" customHeight="1">
      <c r="A996" s="14"/>
      <c r="C996" s="16"/>
      <c r="D996" s="16"/>
    </row>
    <row r="997" spans="1:4" ht="17.25" customHeight="1">
      <c r="A997" s="14"/>
      <c r="C997" s="16"/>
      <c r="D997" s="16"/>
    </row>
    <row r="998" spans="1:4" ht="17.25" customHeight="1">
      <c r="A998" s="14"/>
      <c r="C998" s="16"/>
      <c r="D998" s="16"/>
    </row>
    <row r="999" spans="1:4" ht="17.25" customHeight="1">
      <c r="A999" s="14"/>
      <c r="C999" s="16"/>
      <c r="D999" s="16"/>
    </row>
    <row r="1000" spans="1:4" ht="17.25" customHeight="1">
      <c r="A1000" s="14"/>
      <c r="C1000" s="16"/>
      <c r="D1000" s="16"/>
    </row>
    <row r="1001" spans="1:4" ht="17.25" customHeight="1">
      <c r="A1001" s="14"/>
      <c r="C1001" s="16"/>
      <c r="D1001" s="16"/>
    </row>
    <row r="1002" spans="1:4" ht="17.25" customHeight="1">
      <c r="A1002" s="14"/>
      <c r="C1002" s="16"/>
      <c r="D1002" s="16"/>
    </row>
    <row r="1003" spans="1:4" ht="17.25" customHeight="1">
      <c r="A1003" s="14"/>
      <c r="C1003" s="16"/>
      <c r="D1003" s="16"/>
    </row>
    <row r="1004" spans="1:4" ht="17.25" customHeight="1">
      <c r="A1004" s="14"/>
      <c r="C1004" s="16"/>
      <c r="D1004" s="16"/>
    </row>
    <row r="1005" spans="1:4" ht="17.25" customHeight="1">
      <c r="A1005" s="14"/>
      <c r="C1005" s="16"/>
      <c r="D1005" s="16"/>
    </row>
    <row r="1006" spans="1:4" ht="17.25" customHeight="1">
      <c r="A1006" s="14"/>
      <c r="C1006" s="16"/>
      <c r="D1006" s="16"/>
    </row>
    <row r="1007" spans="1:4" ht="17.25" customHeight="1">
      <c r="A1007" s="14"/>
      <c r="C1007" s="16"/>
      <c r="D1007" s="16"/>
    </row>
    <row r="1008" spans="1:4" ht="17.25" customHeight="1">
      <c r="A1008" s="14"/>
      <c r="C1008" s="16"/>
      <c r="D1008" s="16"/>
    </row>
    <row r="1009" spans="1:4" ht="17.25" customHeight="1">
      <c r="A1009" s="14"/>
      <c r="C1009" s="16"/>
      <c r="D1009" s="16"/>
    </row>
    <row r="1010" spans="1:4" ht="17.25" customHeight="1">
      <c r="A1010" s="14"/>
      <c r="C1010" s="16"/>
      <c r="D1010" s="16"/>
    </row>
    <row r="1011" spans="1:4" ht="17.25" customHeight="1">
      <c r="A1011" s="14"/>
      <c r="C1011" s="16"/>
      <c r="D1011" s="16"/>
    </row>
    <row r="1012" spans="1:4" ht="17.25" customHeight="1">
      <c r="A1012" s="14"/>
      <c r="C1012" s="16"/>
      <c r="D1012" s="16"/>
    </row>
    <row r="1013" spans="1:4" ht="17.25" customHeight="1">
      <c r="A1013" s="14"/>
      <c r="C1013" s="16"/>
      <c r="D1013" s="16"/>
    </row>
    <row r="1014" spans="1:4" ht="17.25" customHeight="1">
      <c r="A1014" s="14"/>
      <c r="C1014" s="16"/>
      <c r="D1014" s="16"/>
    </row>
    <row r="1015" spans="1:4" ht="17.25" customHeight="1">
      <c r="A1015" s="14"/>
      <c r="C1015" s="16"/>
      <c r="D1015" s="16"/>
    </row>
    <row r="1016" spans="1:4" ht="17.25" customHeight="1">
      <c r="A1016" s="14"/>
      <c r="C1016" s="16"/>
      <c r="D1016" s="16"/>
    </row>
    <row r="1017" spans="1:4" ht="17.25" customHeight="1">
      <c r="A1017" s="14"/>
      <c r="C1017" s="16"/>
      <c r="D1017" s="16"/>
    </row>
    <row r="1018" spans="1:4" ht="17.25" customHeight="1">
      <c r="A1018" s="14"/>
      <c r="C1018" s="16"/>
      <c r="D1018" s="16"/>
    </row>
    <row r="1019" spans="1:4" ht="17.25" customHeight="1">
      <c r="A1019" s="14"/>
      <c r="C1019" s="16"/>
      <c r="D1019" s="16"/>
    </row>
    <row r="1020" spans="1:4" ht="17.25" customHeight="1">
      <c r="A1020" s="14"/>
      <c r="C1020" s="16"/>
      <c r="D1020" s="16"/>
    </row>
    <row r="1021" spans="1:4" ht="17.25" customHeight="1">
      <c r="A1021" s="14"/>
      <c r="C1021" s="16"/>
      <c r="D1021" s="16"/>
    </row>
    <row r="1022" spans="1:4" ht="17.25" customHeight="1">
      <c r="A1022" s="14"/>
      <c r="C1022" s="16"/>
      <c r="D1022" s="16"/>
    </row>
    <row r="1023" spans="1:4" ht="17.25" customHeight="1">
      <c r="A1023" s="14"/>
      <c r="C1023" s="16"/>
      <c r="D1023" s="16"/>
    </row>
    <row r="1024" spans="1:4" ht="17.25" customHeight="1">
      <c r="A1024" s="14"/>
      <c r="C1024" s="16"/>
      <c r="D1024" s="16"/>
    </row>
    <row r="1025" spans="1:4" ht="17.25" customHeight="1">
      <c r="A1025" s="14"/>
      <c r="C1025" s="16"/>
      <c r="D1025" s="16"/>
    </row>
    <row r="1026" spans="1:4" ht="17.25" customHeight="1">
      <c r="A1026" s="14"/>
      <c r="C1026" s="16"/>
      <c r="D1026" s="16"/>
    </row>
    <row r="1027" spans="1:4" ht="17.25" customHeight="1">
      <c r="A1027" s="14"/>
      <c r="C1027" s="16"/>
      <c r="D1027" s="16"/>
    </row>
    <row r="1028" spans="1:4" ht="17.25" customHeight="1">
      <c r="A1028" s="14"/>
      <c r="C1028" s="16"/>
      <c r="D1028" s="16"/>
    </row>
    <row r="1029" spans="1:4" ht="17.25" customHeight="1">
      <c r="A1029" s="14"/>
      <c r="C1029" s="16"/>
      <c r="D1029" s="16"/>
    </row>
    <row r="1030" spans="1:4" ht="17.25" customHeight="1">
      <c r="A1030" s="14"/>
      <c r="C1030" s="16"/>
      <c r="D1030" s="16"/>
    </row>
    <row r="1031" spans="1:4" ht="17.25" customHeight="1">
      <c r="A1031" s="14"/>
      <c r="C1031" s="16"/>
      <c r="D1031" s="16"/>
    </row>
    <row r="1032" spans="1:4" ht="17.25" customHeight="1">
      <c r="A1032" s="14"/>
      <c r="C1032" s="16"/>
      <c r="D1032" s="16"/>
    </row>
    <row r="1033" spans="1:4" ht="17.25" customHeight="1">
      <c r="A1033" s="14"/>
      <c r="C1033" s="16"/>
      <c r="D1033" s="16"/>
    </row>
    <row r="1034" spans="1:4" ht="17.25" customHeight="1">
      <c r="A1034" s="14"/>
      <c r="C1034" s="16"/>
      <c r="D1034" s="16"/>
    </row>
    <row r="1035" spans="1:4" ht="17.25" customHeight="1">
      <c r="A1035" s="14"/>
      <c r="C1035" s="16"/>
      <c r="D1035" s="16"/>
    </row>
    <row r="1036" spans="1:4" ht="17.25" customHeight="1">
      <c r="A1036" s="14"/>
      <c r="C1036" s="16"/>
      <c r="D1036" s="16"/>
    </row>
    <row r="1037" spans="1:4" ht="17.25" customHeight="1">
      <c r="A1037" s="14"/>
      <c r="C1037" s="16"/>
      <c r="D1037" s="16"/>
    </row>
    <row r="1038" spans="1:4" ht="17.25" customHeight="1">
      <c r="A1038" s="14"/>
      <c r="C1038" s="16"/>
      <c r="D1038" s="16"/>
    </row>
    <row r="1039" spans="1:4" ht="17.25" customHeight="1">
      <c r="A1039" s="14"/>
      <c r="C1039" s="16"/>
      <c r="D1039" s="16"/>
    </row>
    <row r="1040" spans="1:4" ht="17.25" customHeight="1">
      <c r="A1040" s="14"/>
      <c r="C1040" s="16"/>
      <c r="D1040" s="16"/>
    </row>
    <row r="1041" spans="1:4" ht="17.25" customHeight="1">
      <c r="A1041" s="14"/>
      <c r="C1041" s="16"/>
      <c r="D1041" s="16"/>
    </row>
    <row r="1042" spans="1:4" ht="17.25" customHeight="1">
      <c r="A1042" s="14"/>
      <c r="C1042" s="16"/>
      <c r="D1042" s="16"/>
    </row>
    <row r="1043" spans="1:4" ht="17.25" customHeight="1">
      <c r="A1043" s="14"/>
      <c r="C1043" s="16"/>
      <c r="D1043" s="16"/>
    </row>
    <row r="1044" spans="1:4" ht="17.25" customHeight="1">
      <c r="A1044" s="14"/>
      <c r="C1044" s="16"/>
      <c r="D1044" s="16"/>
    </row>
    <row r="1045" spans="1:4" ht="17.25" customHeight="1">
      <c r="A1045" s="14"/>
      <c r="C1045" s="16"/>
      <c r="D1045" s="16"/>
    </row>
    <row r="1046" spans="1:4" ht="17.25" customHeight="1">
      <c r="A1046" s="14"/>
      <c r="C1046" s="16"/>
      <c r="D1046" s="16"/>
    </row>
    <row r="1047" spans="1:4" ht="17.25" customHeight="1">
      <c r="A1047" s="14"/>
      <c r="C1047" s="16"/>
      <c r="D1047" s="16"/>
    </row>
    <row r="1048" spans="1:4" ht="17.25" customHeight="1">
      <c r="A1048" s="14"/>
      <c r="C1048" s="16"/>
      <c r="D1048" s="16"/>
    </row>
    <row r="1049" spans="1:4" ht="17.25" customHeight="1">
      <c r="A1049" s="14"/>
      <c r="C1049" s="16"/>
      <c r="D1049" s="16"/>
    </row>
    <row r="1050" spans="1:4" ht="17.25" customHeight="1">
      <c r="A1050" s="14"/>
      <c r="C1050" s="16"/>
      <c r="D1050" s="16"/>
    </row>
    <row r="1051" spans="1:4" ht="17.25" customHeight="1">
      <c r="A1051" s="14"/>
      <c r="C1051" s="16"/>
      <c r="D1051" s="16"/>
    </row>
    <row r="1052" spans="1:4" ht="17.25" customHeight="1">
      <c r="A1052" s="14"/>
      <c r="C1052" s="16"/>
      <c r="D1052" s="16"/>
    </row>
    <row r="1053" spans="1:4" ht="17.25" customHeight="1">
      <c r="A1053" s="14"/>
      <c r="C1053" s="16"/>
      <c r="D1053" s="16"/>
    </row>
    <row r="1054" spans="1:4" ht="17.25" customHeight="1">
      <c r="A1054" s="14"/>
      <c r="C1054" s="16"/>
      <c r="D1054" s="16"/>
    </row>
    <row r="1055" spans="1:4" ht="17.25" customHeight="1">
      <c r="A1055" s="14"/>
      <c r="C1055" s="16"/>
      <c r="D1055" s="16"/>
    </row>
    <row r="1056" spans="1:4" ht="17.25" customHeight="1">
      <c r="A1056" s="14"/>
      <c r="C1056" s="16"/>
      <c r="D1056" s="16"/>
    </row>
    <row r="1057" spans="1:4" ht="17.25" customHeight="1">
      <c r="A1057" s="14"/>
      <c r="C1057" s="16"/>
      <c r="D1057" s="16"/>
    </row>
    <row r="1058" spans="1:4" ht="17.25" customHeight="1">
      <c r="A1058" s="14"/>
      <c r="C1058" s="16"/>
      <c r="D1058" s="16"/>
    </row>
    <row r="1059" spans="1:4" ht="17.25" customHeight="1">
      <c r="A1059" s="14"/>
      <c r="C1059" s="16"/>
      <c r="D1059" s="16"/>
    </row>
    <row r="1060" spans="1:4" ht="17.25" customHeight="1">
      <c r="A1060" s="14"/>
      <c r="C1060" s="16"/>
      <c r="D1060" s="16"/>
    </row>
    <row r="1061" spans="1:4" ht="17.25" customHeight="1">
      <c r="A1061" s="14"/>
      <c r="C1061" s="16"/>
      <c r="D1061" s="16"/>
    </row>
    <row r="1062" spans="1:4" ht="17.25" customHeight="1">
      <c r="A1062" s="14"/>
      <c r="C1062" s="16"/>
      <c r="D1062" s="16"/>
    </row>
    <row r="1063" spans="1:4" ht="17.25" customHeight="1">
      <c r="A1063" s="14"/>
      <c r="C1063" s="16"/>
      <c r="D1063" s="16"/>
    </row>
    <row r="1064" spans="1:4" ht="17.25" customHeight="1">
      <c r="A1064" s="14"/>
      <c r="C1064" s="16"/>
      <c r="D1064" s="16"/>
    </row>
    <row r="1065" spans="1:4" ht="17.25" customHeight="1">
      <c r="A1065" s="14"/>
      <c r="C1065" s="16"/>
      <c r="D1065" s="16"/>
    </row>
    <row r="1066" spans="1:4" ht="17.25" customHeight="1">
      <c r="A1066" s="14"/>
      <c r="C1066" s="16"/>
      <c r="D1066" s="16"/>
    </row>
    <row r="1067" spans="1:4" ht="17.25" customHeight="1">
      <c r="A1067" s="14"/>
      <c r="C1067" s="16"/>
      <c r="D1067" s="16"/>
    </row>
    <row r="1068" spans="1:4" ht="17.25" customHeight="1">
      <c r="A1068" s="14"/>
      <c r="C1068" s="16"/>
      <c r="D1068" s="16"/>
    </row>
    <row r="1069" spans="1:4" ht="17.25" customHeight="1">
      <c r="A1069" s="14"/>
      <c r="C1069" s="16"/>
      <c r="D1069" s="16"/>
    </row>
    <row r="1070" spans="1:4" ht="17.25" customHeight="1">
      <c r="A1070" s="14"/>
      <c r="C1070" s="16"/>
      <c r="D1070" s="16"/>
    </row>
    <row r="1071" spans="1:4" ht="17.25" customHeight="1">
      <c r="A1071" s="14"/>
      <c r="C1071" s="16"/>
      <c r="D1071" s="16"/>
    </row>
    <row r="1072" spans="1:4" ht="17.25" customHeight="1">
      <c r="A1072" s="14"/>
      <c r="C1072" s="16"/>
      <c r="D1072" s="16"/>
    </row>
    <row r="1073" spans="1:4" ht="17.25" customHeight="1">
      <c r="A1073" s="14"/>
      <c r="C1073" s="16"/>
      <c r="D1073" s="16"/>
    </row>
    <row r="1074" spans="1:4" ht="17.25" customHeight="1">
      <c r="A1074" s="14"/>
      <c r="C1074" s="16"/>
      <c r="D1074" s="16"/>
    </row>
    <row r="1075" spans="1:4" ht="17.25" customHeight="1">
      <c r="A1075" s="14"/>
      <c r="C1075" s="16"/>
      <c r="D1075" s="16"/>
    </row>
    <row r="1076" spans="1:4" ht="17.25" customHeight="1">
      <c r="A1076" s="14"/>
      <c r="C1076" s="16"/>
      <c r="D1076" s="16"/>
    </row>
    <row r="1077" spans="1:4" ht="17.25" customHeight="1">
      <c r="A1077" s="14"/>
      <c r="C1077" s="16"/>
      <c r="D1077" s="16"/>
    </row>
    <row r="1078" spans="1:4" ht="17.25" customHeight="1">
      <c r="A1078" s="14"/>
      <c r="C1078" s="16"/>
      <c r="D1078" s="16"/>
    </row>
    <row r="1079" spans="1:4" ht="17.25" customHeight="1">
      <c r="A1079" s="14"/>
      <c r="C1079" s="16"/>
      <c r="D1079" s="16"/>
    </row>
    <row r="1080" spans="1:4" ht="17.25" customHeight="1">
      <c r="A1080" s="14"/>
      <c r="C1080" s="16"/>
      <c r="D1080" s="16"/>
    </row>
    <row r="1081" spans="1:4" ht="17.25" customHeight="1">
      <c r="A1081" s="14"/>
      <c r="C1081" s="16"/>
      <c r="D1081" s="16"/>
    </row>
    <row r="1082" spans="1:4" ht="17.25" customHeight="1">
      <c r="A1082" s="14"/>
      <c r="C1082" s="16"/>
      <c r="D1082" s="16"/>
    </row>
    <row r="1083" spans="1:4" ht="17.25" customHeight="1">
      <c r="A1083" s="14"/>
      <c r="C1083" s="16"/>
      <c r="D1083" s="16"/>
    </row>
    <row r="1084" spans="1:4" ht="17.25" customHeight="1">
      <c r="A1084" s="14"/>
      <c r="C1084" s="16"/>
      <c r="D1084" s="16"/>
    </row>
    <row r="1085" spans="1:4" ht="17.25" customHeight="1">
      <c r="A1085" s="14"/>
      <c r="C1085" s="16"/>
      <c r="D1085" s="16"/>
    </row>
    <row r="1086" spans="1:4" ht="17.25" customHeight="1">
      <c r="A1086" s="14"/>
      <c r="C1086" s="16"/>
      <c r="D1086" s="16"/>
    </row>
    <row r="1087" spans="1:4" ht="17.25" customHeight="1">
      <c r="A1087" s="14"/>
      <c r="C1087" s="16"/>
      <c r="D1087" s="16"/>
    </row>
    <row r="1088" spans="1:4" ht="17.25" customHeight="1">
      <c r="A1088" s="14"/>
      <c r="C1088" s="16"/>
      <c r="D1088" s="16"/>
    </row>
    <row r="1089" spans="1:4" ht="17.25" customHeight="1">
      <c r="A1089" s="14"/>
      <c r="C1089" s="16"/>
      <c r="D1089" s="16"/>
    </row>
    <row r="1090" spans="1:4" ht="17.25" customHeight="1">
      <c r="A1090" s="14"/>
      <c r="C1090" s="16"/>
      <c r="D1090" s="16"/>
    </row>
    <row r="1091" spans="1:4" ht="17.25" customHeight="1">
      <c r="A1091" s="14"/>
      <c r="C1091" s="16"/>
      <c r="D1091" s="16"/>
    </row>
    <row r="1092" spans="1:4" ht="17.25" customHeight="1">
      <c r="A1092" s="14"/>
      <c r="C1092" s="16"/>
      <c r="D1092" s="16"/>
    </row>
    <row r="1093" spans="1:4" ht="17.25" customHeight="1">
      <c r="A1093" s="14"/>
      <c r="C1093" s="16"/>
      <c r="D1093" s="16"/>
    </row>
    <row r="1094" spans="1:4" ht="17.25" customHeight="1">
      <c r="A1094" s="14"/>
      <c r="C1094" s="16"/>
      <c r="D1094" s="16"/>
    </row>
    <row r="1095" spans="1:4" ht="17.25" customHeight="1">
      <c r="A1095" s="14"/>
      <c r="C1095" s="16"/>
      <c r="D1095" s="16"/>
    </row>
    <row r="1096" spans="1:4" ht="17.25" customHeight="1">
      <c r="A1096" s="14"/>
      <c r="C1096" s="16"/>
      <c r="D1096" s="16"/>
    </row>
    <row r="1097" spans="1:4" ht="17.25" customHeight="1">
      <c r="A1097" s="14"/>
      <c r="C1097" s="16"/>
      <c r="D1097" s="16"/>
    </row>
    <row r="1098" spans="1:4" ht="17.25" customHeight="1">
      <c r="A1098" s="14"/>
      <c r="C1098" s="16"/>
      <c r="D1098" s="16"/>
    </row>
    <row r="1099" spans="1:4" ht="17.25" customHeight="1">
      <c r="A1099" s="14"/>
      <c r="C1099" s="16"/>
      <c r="D1099" s="16"/>
    </row>
    <row r="1100" spans="1:4" ht="17.25" customHeight="1">
      <c r="A1100" s="14"/>
      <c r="C1100" s="16"/>
      <c r="D1100" s="16"/>
    </row>
    <row r="1101" spans="1:4" ht="17.25" customHeight="1">
      <c r="A1101" s="14"/>
      <c r="C1101" s="16"/>
      <c r="D1101" s="16"/>
    </row>
    <row r="1102" spans="1:4" ht="17.25" customHeight="1">
      <c r="A1102" s="14"/>
      <c r="C1102" s="16"/>
      <c r="D1102" s="16"/>
    </row>
    <row r="1103" spans="1:4" ht="17.25" customHeight="1">
      <c r="A1103" s="14"/>
      <c r="C1103" s="16"/>
      <c r="D1103" s="16"/>
    </row>
    <row r="1104" spans="1:4" ht="17.25" customHeight="1">
      <c r="A1104" s="14"/>
      <c r="C1104" s="16"/>
      <c r="D1104" s="16"/>
    </row>
    <row r="1105" spans="1:4" ht="17.25" customHeight="1">
      <c r="A1105" s="14"/>
      <c r="C1105" s="16"/>
      <c r="D1105" s="16"/>
    </row>
    <row r="1106" spans="1:4" ht="17.25" customHeight="1">
      <c r="A1106" s="14"/>
      <c r="C1106" s="16"/>
      <c r="D1106" s="16"/>
    </row>
    <row r="1107" spans="1:4" ht="17.25" customHeight="1">
      <c r="A1107" s="14"/>
      <c r="C1107" s="16"/>
      <c r="D1107" s="16"/>
    </row>
    <row r="1108" spans="1:4" ht="17.25" customHeight="1">
      <c r="A1108" s="14"/>
      <c r="C1108" s="16"/>
      <c r="D1108" s="16"/>
    </row>
    <row r="1109" spans="1:4" ht="17.25" customHeight="1">
      <c r="A1109" s="14"/>
      <c r="C1109" s="16"/>
      <c r="D1109" s="16"/>
    </row>
    <row r="1110" spans="1:4" ht="17.25" customHeight="1">
      <c r="A1110" s="14"/>
      <c r="C1110" s="16"/>
      <c r="D1110" s="16"/>
    </row>
    <row r="1111" spans="1:4" ht="17.25" customHeight="1">
      <c r="A1111" s="14"/>
      <c r="C1111" s="16"/>
      <c r="D1111" s="16"/>
    </row>
    <row r="1112" spans="1:4" ht="17.25" customHeight="1">
      <c r="A1112" s="14"/>
      <c r="C1112" s="16"/>
      <c r="D1112" s="16"/>
    </row>
    <row r="1113" spans="1:4" ht="17.25" customHeight="1">
      <c r="A1113" s="14"/>
      <c r="C1113" s="16"/>
      <c r="D1113" s="16"/>
    </row>
    <row r="1114" spans="1:4" ht="17.25" customHeight="1">
      <c r="A1114" s="14"/>
      <c r="C1114" s="16"/>
      <c r="D1114" s="16"/>
    </row>
    <row r="1115" spans="1:4" ht="17.25" customHeight="1">
      <c r="A1115" s="14"/>
      <c r="C1115" s="16"/>
      <c r="D1115" s="16"/>
    </row>
    <row r="1116" spans="1:4" ht="17.25" customHeight="1">
      <c r="A1116" s="14"/>
      <c r="C1116" s="16"/>
      <c r="D1116" s="16"/>
    </row>
    <row r="1117" spans="1:4" ht="17.25" customHeight="1">
      <c r="A1117" s="14"/>
      <c r="C1117" s="16"/>
      <c r="D1117" s="16"/>
    </row>
    <row r="1118" spans="1:4" ht="17.25" customHeight="1">
      <c r="A1118" s="14"/>
      <c r="C1118" s="16"/>
      <c r="D1118" s="16"/>
    </row>
    <row r="1119" spans="1:4" ht="17.25" customHeight="1">
      <c r="A1119" s="14"/>
      <c r="C1119" s="16"/>
      <c r="D1119" s="16"/>
    </row>
    <row r="1120" spans="1:4" ht="17.25" customHeight="1">
      <c r="A1120" s="14"/>
      <c r="C1120" s="16"/>
      <c r="D1120" s="16"/>
    </row>
    <row r="1121" spans="1:4" ht="17.25" customHeight="1">
      <c r="A1121" s="14"/>
      <c r="C1121" s="16"/>
      <c r="D1121" s="16"/>
    </row>
    <row r="1122" spans="1:4" ht="17.25" customHeight="1">
      <c r="A1122" s="14"/>
      <c r="C1122" s="16"/>
      <c r="D1122" s="16"/>
    </row>
    <row r="1123" spans="1:4" ht="17.25" customHeight="1">
      <c r="A1123" s="14"/>
      <c r="C1123" s="16"/>
      <c r="D1123" s="16"/>
    </row>
    <row r="1124" spans="1:4" ht="17.25" customHeight="1">
      <c r="A1124" s="14"/>
      <c r="C1124" s="16"/>
      <c r="D1124" s="16"/>
    </row>
    <row r="1125" spans="1:4" ht="17.25" customHeight="1">
      <c r="A1125" s="14"/>
      <c r="C1125" s="16"/>
      <c r="D1125" s="16"/>
    </row>
    <row r="1126" spans="1:4" ht="17.25" customHeight="1">
      <c r="A1126" s="14"/>
      <c r="C1126" s="16"/>
      <c r="D1126" s="16"/>
    </row>
    <row r="1127" spans="1:4" ht="17.25" customHeight="1">
      <c r="A1127" s="14"/>
      <c r="C1127" s="16"/>
      <c r="D1127" s="16"/>
    </row>
    <row r="1128" spans="1:4" ht="17.25" customHeight="1">
      <c r="A1128" s="14"/>
      <c r="C1128" s="16"/>
      <c r="D1128" s="16"/>
    </row>
    <row r="1129" spans="1:4" ht="17.25" customHeight="1">
      <c r="A1129" s="14"/>
      <c r="C1129" s="16"/>
      <c r="D1129" s="16"/>
    </row>
    <row r="1130" spans="1:4" ht="17.25" customHeight="1">
      <c r="A1130" s="14"/>
      <c r="C1130" s="16"/>
      <c r="D1130" s="16"/>
    </row>
    <row r="1131" spans="1:4" ht="17.25" customHeight="1">
      <c r="A1131" s="14"/>
      <c r="C1131" s="16"/>
      <c r="D1131" s="16"/>
    </row>
    <row r="1132" spans="1:4" ht="17.25" customHeight="1">
      <c r="A1132" s="14"/>
      <c r="C1132" s="16"/>
      <c r="D1132" s="16"/>
    </row>
    <row r="1133" spans="1:4" ht="17.25" customHeight="1">
      <c r="A1133" s="14"/>
      <c r="C1133" s="16"/>
      <c r="D1133" s="16"/>
    </row>
    <row r="1134" spans="1:4" ht="17.25" customHeight="1">
      <c r="A1134" s="14"/>
      <c r="C1134" s="16"/>
      <c r="D1134" s="16"/>
    </row>
    <row r="1135" spans="1:4" ht="17.25" customHeight="1">
      <c r="A1135" s="14"/>
      <c r="C1135" s="16"/>
      <c r="D1135" s="16"/>
    </row>
    <row r="1136" spans="1:4" ht="17.25" customHeight="1">
      <c r="A1136" s="14"/>
      <c r="C1136" s="16"/>
      <c r="D1136" s="16"/>
    </row>
    <row r="1137" spans="1:4" ht="17.25" customHeight="1">
      <c r="A1137" s="14"/>
      <c r="C1137" s="16"/>
      <c r="D1137" s="16"/>
    </row>
    <row r="1138" spans="1:4" ht="17.25" customHeight="1">
      <c r="A1138" s="14"/>
      <c r="C1138" s="16"/>
      <c r="D1138" s="16"/>
    </row>
    <row r="1139" spans="1:4" ht="17.25" customHeight="1">
      <c r="A1139" s="14"/>
      <c r="C1139" s="16"/>
      <c r="D1139" s="16"/>
    </row>
    <row r="1140" spans="1:4" ht="17.25" customHeight="1">
      <c r="A1140" s="14"/>
      <c r="C1140" s="16"/>
      <c r="D1140" s="16"/>
    </row>
    <row r="1141" spans="1:4" ht="17.25" customHeight="1">
      <c r="A1141" s="14"/>
      <c r="C1141" s="16"/>
      <c r="D1141" s="16"/>
    </row>
    <row r="1142" spans="1:4" ht="17.25" customHeight="1">
      <c r="A1142" s="14"/>
      <c r="C1142" s="16"/>
      <c r="D1142" s="16"/>
    </row>
    <row r="1143" spans="1:4" ht="17.25" customHeight="1">
      <c r="A1143" s="14"/>
      <c r="C1143" s="16"/>
      <c r="D1143" s="16"/>
    </row>
    <row r="1144" spans="1:4" ht="17.25" customHeight="1">
      <c r="A1144" s="14"/>
      <c r="C1144" s="16"/>
      <c r="D1144" s="16"/>
    </row>
    <row r="1145" spans="1:4" ht="17.25" customHeight="1">
      <c r="A1145" s="14"/>
      <c r="C1145" s="16"/>
      <c r="D1145" s="16"/>
    </row>
    <row r="1146" spans="1:4" ht="17.25" customHeight="1">
      <c r="A1146" s="14"/>
      <c r="C1146" s="16"/>
      <c r="D1146" s="16"/>
    </row>
    <row r="1147" spans="1:4" ht="17.25" customHeight="1">
      <c r="A1147" s="14"/>
      <c r="C1147" s="16"/>
      <c r="D1147" s="16"/>
    </row>
    <row r="1148" spans="1:4" ht="17.25" customHeight="1">
      <c r="A1148" s="14"/>
      <c r="C1148" s="16"/>
      <c r="D1148" s="16"/>
    </row>
    <row r="1149" spans="1:4" ht="17.25" customHeight="1">
      <c r="A1149" s="14"/>
      <c r="C1149" s="16"/>
      <c r="D1149" s="16"/>
    </row>
    <row r="1150" spans="1:4" ht="17.25" customHeight="1">
      <c r="A1150" s="14"/>
      <c r="C1150" s="16"/>
      <c r="D1150" s="16"/>
    </row>
    <row r="1151" spans="1:4" ht="17.25" customHeight="1">
      <c r="A1151" s="14"/>
      <c r="C1151" s="16"/>
      <c r="D1151" s="16"/>
    </row>
    <row r="1152" spans="1:4" ht="17.25" customHeight="1">
      <c r="A1152" s="14"/>
      <c r="C1152" s="16"/>
      <c r="D1152" s="16"/>
    </row>
    <row r="1153" spans="1:4" ht="17.25" customHeight="1">
      <c r="A1153" s="14"/>
      <c r="C1153" s="16"/>
      <c r="D1153" s="16"/>
    </row>
    <row r="1154" spans="1:4" ht="17.25" customHeight="1">
      <c r="A1154" s="14"/>
      <c r="C1154" s="16"/>
      <c r="D1154" s="16"/>
    </row>
    <row r="1155" spans="1:4" ht="17.25" customHeight="1">
      <c r="A1155" s="14"/>
      <c r="C1155" s="16"/>
      <c r="D1155" s="16"/>
    </row>
    <row r="1156" spans="1:4" ht="17.25" customHeight="1">
      <c r="A1156" s="14"/>
      <c r="C1156" s="16"/>
      <c r="D1156" s="16"/>
    </row>
    <row r="1157" spans="1:4" ht="17.25" customHeight="1">
      <c r="A1157" s="14"/>
      <c r="C1157" s="16"/>
      <c r="D1157" s="16"/>
    </row>
    <row r="1158" spans="1:4" ht="17.25" customHeight="1">
      <c r="A1158" s="14"/>
      <c r="C1158" s="16"/>
      <c r="D1158" s="16"/>
    </row>
    <row r="1159" spans="1:4" ht="17.25" customHeight="1">
      <c r="A1159" s="14"/>
      <c r="C1159" s="16"/>
      <c r="D1159" s="16"/>
    </row>
    <row r="1160" spans="1:4" ht="17.25" customHeight="1">
      <c r="A1160" s="14"/>
      <c r="C1160" s="16"/>
      <c r="D1160" s="16"/>
    </row>
    <row r="1161" spans="1:4" ht="17.25" customHeight="1">
      <c r="A1161" s="14"/>
      <c r="C1161" s="16"/>
      <c r="D1161" s="16"/>
    </row>
    <row r="1162" spans="1:4" ht="17.25" customHeight="1">
      <c r="A1162" s="14"/>
      <c r="C1162" s="16"/>
      <c r="D1162" s="16"/>
    </row>
    <row r="1163" spans="1:4" ht="17.25" customHeight="1">
      <c r="A1163" s="14"/>
      <c r="C1163" s="16"/>
      <c r="D1163" s="16"/>
    </row>
    <row r="1164" spans="1:4" ht="17.25" customHeight="1">
      <c r="A1164" s="14"/>
      <c r="C1164" s="16"/>
      <c r="D1164" s="16"/>
    </row>
    <row r="1165" spans="1:4" ht="17.25" customHeight="1">
      <c r="A1165" s="14"/>
      <c r="C1165" s="16"/>
      <c r="D1165" s="16"/>
    </row>
    <row r="1166" spans="1:4" ht="17.25" customHeight="1">
      <c r="A1166" s="14"/>
      <c r="C1166" s="16"/>
      <c r="D1166" s="16"/>
    </row>
    <row r="1167" spans="1:4" ht="17.25" customHeight="1">
      <c r="A1167" s="14"/>
      <c r="C1167" s="16"/>
      <c r="D1167" s="16"/>
    </row>
    <row r="1168" spans="1:4" ht="17.25" customHeight="1">
      <c r="A1168" s="14"/>
      <c r="C1168" s="16"/>
      <c r="D1168" s="16"/>
    </row>
    <row r="1169" spans="1:4" ht="17.25" customHeight="1">
      <c r="A1169" s="14"/>
      <c r="C1169" s="16"/>
      <c r="D1169" s="16"/>
    </row>
    <row r="1170" spans="1:4" ht="17.25" customHeight="1">
      <c r="A1170" s="14"/>
      <c r="C1170" s="16"/>
      <c r="D1170" s="16"/>
    </row>
    <row r="1171" spans="1:4" ht="17.25" customHeight="1">
      <c r="A1171" s="14"/>
      <c r="C1171" s="16"/>
      <c r="D1171" s="16"/>
    </row>
    <row r="1172" spans="1:4" ht="17.25" customHeight="1">
      <c r="A1172" s="14"/>
      <c r="C1172" s="16"/>
      <c r="D1172" s="16"/>
    </row>
    <row r="1173" spans="1:4" ht="17.25" customHeight="1">
      <c r="A1173" s="14"/>
      <c r="C1173" s="16"/>
      <c r="D1173" s="16"/>
    </row>
    <row r="1174" spans="1:4" ht="17.25" customHeight="1">
      <c r="A1174" s="14"/>
      <c r="C1174" s="16"/>
      <c r="D1174" s="16"/>
    </row>
    <row r="1175" spans="1:4" ht="17.25" customHeight="1">
      <c r="A1175" s="14"/>
      <c r="C1175" s="16"/>
      <c r="D1175" s="16"/>
    </row>
    <row r="1176" spans="1:4" ht="17.25" customHeight="1">
      <c r="A1176" s="14"/>
      <c r="C1176" s="16"/>
      <c r="D1176" s="16"/>
    </row>
    <row r="1177" spans="1:4" ht="17.25" customHeight="1">
      <c r="A1177" s="14"/>
      <c r="C1177" s="16"/>
      <c r="D1177" s="16"/>
    </row>
    <row r="1178" spans="1:4" ht="17.25" customHeight="1">
      <c r="A1178" s="14"/>
      <c r="C1178" s="16"/>
      <c r="D1178" s="16"/>
    </row>
    <row r="1179" spans="1:4" ht="17.25" customHeight="1">
      <c r="A1179" s="14"/>
      <c r="C1179" s="16"/>
      <c r="D1179" s="16"/>
    </row>
    <row r="1180" spans="1:4" ht="17.25" customHeight="1">
      <c r="A1180" s="14"/>
      <c r="C1180" s="16"/>
      <c r="D1180" s="16"/>
    </row>
    <row r="1181" spans="1:4" ht="17.25" customHeight="1">
      <c r="A1181" s="14"/>
      <c r="C1181" s="16"/>
      <c r="D1181" s="16"/>
    </row>
    <row r="1182" spans="1:4" ht="17.25" customHeight="1">
      <c r="A1182" s="14"/>
      <c r="C1182" s="16"/>
      <c r="D1182" s="16"/>
    </row>
    <row r="1183" spans="1:4" ht="17.25" customHeight="1">
      <c r="A1183" s="14"/>
      <c r="C1183" s="16"/>
      <c r="D1183" s="16"/>
    </row>
    <row r="1184" spans="1:4" ht="17.25" customHeight="1">
      <c r="A1184" s="14"/>
      <c r="C1184" s="16"/>
      <c r="D1184" s="16"/>
    </row>
    <row r="1185" spans="1:4" ht="17.25" customHeight="1">
      <c r="A1185" s="14"/>
      <c r="C1185" s="16"/>
      <c r="D1185" s="16"/>
    </row>
    <row r="1186" spans="1:4" ht="17.25" customHeight="1">
      <c r="A1186" s="14"/>
      <c r="C1186" s="16"/>
      <c r="D1186" s="16"/>
    </row>
    <row r="1187" spans="1:4" ht="17.25" customHeight="1">
      <c r="A1187" s="14"/>
      <c r="C1187" s="16"/>
      <c r="D1187" s="16"/>
    </row>
    <row r="1188" spans="1:4" ht="17.25" customHeight="1">
      <c r="A1188" s="14"/>
      <c r="C1188" s="16"/>
      <c r="D1188" s="16"/>
    </row>
    <row r="1189" spans="1:4" ht="17.25" customHeight="1">
      <c r="A1189" s="14"/>
      <c r="C1189" s="16"/>
      <c r="D1189" s="16"/>
    </row>
    <row r="1190" spans="1:4" ht="17.25" customHeight="1">
      <c r="A1190" s="14"/>
      <c r="C1190" s="16"/>
      <c r="D1190" s="16"/>
    </row>
    <row r="1191" spans="1:4" ht="17.25" customHeight="1">
      <c r="A1191" s="14"/>
      <c r="C1191" s="16"/>
      <c r="D1191" s="16"/>
    </row>
    <row r="1192" spans="1:4" ht="17.25" customHeight="1">
      <c r="A1192" s="14"/>
      <c r="C1192" s="16"/>
      <c r="D1192" s="16"/>
    </row>
    <row r="1193" spans="1:4" ht="17.25" customHeight="1">
      <c r="A1193" s="14"/>
      <c r="C1193" s="16"/>
      <c r="D1193" s="16"/>
    </row>
    <row r="1194" spans="1:4" ht="17.25" customHeight="1">
      <c r="A1194" s="14"/>
      <c r="C1194" s="16"/>
      <c r="D1194" s="16"/>
    </row>
    <row r="1195" spans="1:4" ht="17.25" customHeight="1">
      <c r="A1195" s="14"/>
      <c r="C1195" s="16"/>
      <c r="D1195" s="16"/>
    </row>
    <row r="1196" spans="1:4" ht="17.25" customHeight="1">
      <c r="A1196" s="14"/>
      <c r="C1196" s="16"/>
      <c r="D1196" s="16"/>
    </row>
    <row r="1197" spans="1:4" ht="17.25" customHeight="1">
      <c r="A1197" s="14"/>
      <c r="C1197" s="16"/>
      <c r="D1197" s="16"/>
    </row>
    <row r="1198" spans="1:4" ht="17.25" customHeight="1">
      <c r="A1198" s="14"/>
      <c r="C1198" s="16"/>
      <c r="D1198" s="16"/>
    </row>
    <row r="1199" spans="1:4" ht="17.25" customHeight="1">
      <c r="A1199" s="14"/>
      <c r="C1199" s="16"/>
      <c r="D1199" s="16"/>
    </row>
    <row r="1200" spans="1:4" ht="17.25" customHeight="1">
      <c r="A1200" s="14"/>
      <c r="C1200" s="16"/>
      <c r="D1200" s="16"/>
    </row>
    <row r="1201" spans="1:4" ht="17.25" customHeight="1">
      <c r="A1201" s="14"/>
      <c r="C1201" s="16"/>
      <c r="D1201" s="16"/>
    </row>
    <row r="1202" spans="1:4" ht="17.25" customHeight="1">
      <c r="A1202" s="14"/>
      <c r="C1202" s="16"/>
      <c r="D1202" s="16"/>
    </row>
    <row r="1203" spans="1:4" ht="17.25" customHeight="1">
      <c r="A1203" s="14"/>
      <c r="C1203" s="16"/>
      <c r="D1203" s="16"/>
    </row>
    <row r="1204" spans="1:4" ht="17.25" customHeight="1">
      <c r="A1204" s="14"/>
      <c r="C1204" s="16"/>
      <c r="D1204" s="16"/>
    </row>
    <row r="1205" spans="1:4" ht="17.25" customHeight="1">
      <c r="A1205" s="14"/>
      <c r="C1205" s="16"/>
      <c r="D1205" s="16"/>
    </row>
    <row r="1206" spans="1:4" ht="17.25" customHeight="1">
      <c r="A1206" s="14"/>
      <c r="C1206" s="16"/>
      <c r="D1206" s="16"/>
    </row>
    <row r="1207" spans="1:4" ht="17.25" customHeight="1">
      <c r="A1207" s="14"/>
      <c r="C1207" s="16"/>
      <c r="D1207" s="16"/>
    </row>
    <row r="1208" spans="1:4" ht="17.25" customHeight="1">
      <c r="A1208" s="14"/>
      <c r="C1208" s="16"/>
      <c r="D1208" s="16"/>
    </row>
    <row r="1209" spans="1:4" ht="17.25" customHeight="1">
      <c r="A1209" s="14"/>
      <c r="C1209" s="16"/>
      <c r="D1209" s="16"/>
    </row>
    <row r="1210" spans="1:4" ht="17.25" customHeight="1">
      <c r="A1210" s="14"/>
      <c r="C1210" s="16"/>
      <c r="D1210" s="16"/>
    </row>
    <row r="1211" spans="1:4" ht="17.25" customHeight="1">
      <c r="A1211" s="14"/>
      <c r="C1211" s="16"/>
      <c r="D1211" s="16"/>
    </row>
    <row r="1212" spans="1:4" ht="17.25" customHeight="1">
      <c r="A1212" s="14"/>
      <c r="C1212" s="16"/>
      <c r="D1212" s="16"/>
    </row>
    <row r="1213" spans="1:4" ht="17.25" customHeight="1">
      <c r="A1213" s="14"/>
      <c r="C1213" s="16"/>
      <c r="D1213" s="16"/>
    </row>
    <row r="1214" spans="1:4" ht="17.25" customHeight="1">
      <c r="A1214" s="14"/>
      <c r="C1214" s="16"/>
      <c r="D1214" s="16"/>
    </row>
    <row r="1215" spans="1:4" ht="17.25" customHeight="1">
      <c r="A1215" s="14"/>
      <c r="C1215" s="16"/>
      <c r="D1215" s="16"/>
    </row>
    <row r="1216" spans="1:4" ht="17.25" customHeight="1">
      <c r="A1216" s="14"/>
      <c r="C1216" s="16"/>
      <c r="D1216" s="16"/>
    </row>
    <row r="1217" spans="1:4" ht="17.25" customHeight="1">
      <c r="A1217" s="14"/>
      <c r="C1217" s="16"/>
      <c r="D1217" s="16"/>
    </row>
    <row r="1218" spans="1:4" ht="17.25" customHeight="1">
      <c r="A1218" s="14"/>
      <c r="C1218" s="16"/>
      <c r="D1218" s="16"/>
    </row>
    <row r="1219" spans="1:4" ht="17.25" customHeight="1">
      <c r="A1219" s="14"/>
      <c r="C1219" s="16"/>
      <c r="D1219" s="16"/>
    </row>
    <row r="1220" spans="1:4" ht="17.25" customHeight="1">
      <c r="A1220" s="14"/>
      <c r="C1220" s="16"/>
      <c r="D1220" s="16"/>
    </row>
    <row r="1221" spans="1:4" ht="17.25" customHeight="1">
      <c r="A1221" s="14"/>
      <c r="C1221" s="16"/>
      <c r="D1221" s="16"/>
    </row>
    <row r="1222" spans="1:4" ht="17.25" customHeight="1">
      <c r="A1222" s="14"/>
      <c r="C1222" s="16"/>
      <c r="D1222" s="16"/>
    </row>
    <row r="1223" spans="1:4" ht="17.25" customHeight="1">
      <c r="A1223" s="14"/>
      <c r="C1223" s="16"/>
      <c r="D1223" s="16"/>
    </row>
    <row r="1224" spans="1:4" ht="17.25" customHeight="1">
      <c r="A1224" s="14"/>
      <c r="C1224" s="16"/>
      <c r="D1224" s="16"/>
    </row>
    <row r="1225" spans="1:4" ht="17.25" customHeight="1">
      <c r="A1225" s="14"/>
      <c r="C1225" s="16"/>
      <c r="D1225" s="16"/>
    </row>
    <row r="1226" spans="1:4" ht="17.25" customHeight="1">
      <c r="A1226" s="14"/>
      <c r="C1226" s="16"/>
      <c r="D1226" s="16"/>
    </row>
    <row r="1227" spans="1:4" ht="17.25" customHeight="1">
      <c r="A1227" s="14"/>
      <c r="C1227" s="16"/>
      <c r="D1227" s="16"/>
    </row>
    <row r="1228" spans="1:4" ht="17.25" customHeight="1">
      <c r="A1228" s="14"/>
      <c r="C1228" s="16"/>
      <c r="D1228" s="16"/>
    </row>
    <row r="1229" spans="1:4" ht="17.25" customHeight="1">
      <c r="A1229" s="14"/>
      <c r="C1229" s="16"/>
      <c r="D1229" s="16"/>
    </row>
    <row r="1230" spans="1:4" ht="17.25" customHeight="1">
      <c r="A1230" s="14"/>
      <c r="C1230" s="16"/>
      <c r="D1230" s="16"/>
    </row>
    <row r="1231" spans="1:4" ht="17.25" customHeight="1">
      <c r="A1231" s="14"/>
      <c r="C1231" s="16"/>
      <c r="D1231" s="16"/>
    </row>
    <row r="1232" spans="1:4" ht="17.25" customHeight="1">
      <c r="A1232" s="14"/>
      <c r="C1232" s="16"/>
      <c r="D1232" s="16"/>
    </row>
    <row r="1233" spans="1:4" ht="17.25" customHeight="1">
      <c r="A1233" s="14"/>
      <c r="C1233" s="16"/>
      <c r="D1233" s="16"/>
    </row>
    <row r="1234" spans="1:4" ht="17.25" customHeight="1">
      <c r="A1234" s="14"/>
      <c r="C1234" s="16"/>
      <c r="D1234" s="16"/>
    </row>
    <row r="1235" spans="1:4" ht="17.25" customHeight="1">
      <c r="A1235" s="14"/>
      <c r="C1235" s="16"/>
      <c r="D1235" s="16"/>
    </row>
    <row r="1236" spans="1:4" ht="17.25" customHeight="1">
      <c r="A1236" s="14"/>
      <c r="C1236" s="16"/>
      <c r="D1236" s="16"/>
    </row>
    <row r="1237" spans="1:4" ht="17.25" customHeight="1">
      <c r="A1237" s="14"/>
      <c r="C1237" s="16"/>
      <c r="D1237" s="16"/>
    </row>
    <row r="1238" spans="1:4" ht="17.25" customHeight="1">
      <c r="A1238" s="14"/>
      <c r="C1238" s="16"/>
      <c r="D1238" s="16"/>
    </row>
    <row r="1239" spans="1:4" ht="17.25" customHeight="1">
      <c r="A1239" s="14"/>
      <c r="C1239" s="16"/>
      <c r="D1239" s="16"/>
    </row>
    <row r="1240" spans="1:4" ht="17.25" customHeight="1">
      <c r="A1240" s="14"/>
      <c r="C1240" s="16"/>
      <c r="D1240" s="16"/>
    </row>
    <row r="1241" spans="1:4" ht="17.25" customHeight="1">
      <c r="A1241" s="14"/>
      <c r="C1241" s="16"/>
      <c r="D1241" s="16"/>
    </row>
    <row r="1242" spans="1:4" ht="17.25" customHeight="1">
      <c r="A1242" s="14"/>
      <c r="C1242" s="16"/>
      <c r="D1242" s="16"/>
    </row>
    <row r="1243" spans="1:4" ht="17.25" customHeight="1">
      <c r="A1243" s="14"/>
      <c r="C1243" s="16"/>
      <c r="D1243" s="16"/>
    </row>
    <row r="1244" spans="1:4" ht="17.25" customHeight="1">
      <c r="A1244" s="14"/>
      <c r="C1244" s="16"/>
      <c r="D1244" s="16"/>
    </row>
    <row r="1245" spans="1:4" ht="17.25" customHeight="1">
      <c r="A1245" s="14"/>
      <c r="C1245" s="16"/>
      <c r="D1245" s="16"/>
    </row>
    <row r="1246" spans="1:4" ht="17.25" customHeight="1">
      <c r="A1246" s="14"/>
      <c r="C1246" s="16"/>
      <c r="D1246" s="16"/>
    </row>
    <row r="1247" spans="1:4" ht="17.25" customHeight="1">
      <c r="A1247" s="14"/>
      <c r="C1247" s="16"/>
      <c r="D1247" s="16"/>
    </row>
    <row r="1248" spans="1:4" ht="17.25" customHeight="1">
      <c r="A1248" s="14"/>
      <c r="C1248" s="16"/>
      <c r="D1248" s="16"/>
    </row>
    <row r="1249" spans="1:4" ht="17.25" customHeight="1">
      <c r="A1249" s="14"/>
      <c r="C1249" s="16"/>
      <c r="D1249" s="16"/>
    </row>
    <row r="1250" spans="1:4" ht="17.25" customHeight="1">
      <c r="A1250" s="14"/>
      <c r="C1250" s="16"/>
      <c r="D1250" s="16"/>
    </row>
    <row r="1251" spans="1:4" ht="17.25" customHeight="1">
      <c r="A1251" s="14"/>
      <c r="C1251" s="16"/>
      <c r="D1251" s="16"/>
    </row>
    <row r="1252" spans="1:4" ht="17.25" customHeight="1">
      <c r="A1252" s="14"/>
      <c r="C1252" s="16"/>
      <c r="D1252" s="16"/>
    </row>
    <row r="1253" spans="1:4" ht="17.25" customHeight="1">
      <c r="A1253" s="14"/>
      <c r="C1253" s="16"/>
      <c r="D1253" s="16"/>
    </row>
    <row r="1254" spans="1:4" ht="17.25" customHeight="1">
      <c r="A1254" s="14"/>
      <c r="C1254" s="16"/>
      <c r="D1254" s="16"/>
    </row>
    <row r="1255" spans="1:4" ht="17.25" customHeight="1">
      <c r="A1255" s="14"/>
      <c r="C1255" s="16"/>
      <c r="D1255" s="16"/>
    </row>
    <row r="1256" spans="1:4" ht="17.25" customHeight="1">
      <c r="A1256" s="14"/>
      <c r="C1256" s="16"/>
      <c r="D1256" s="16"/>
    </row>
    <row r="1257" spans="1:4" ht="17.25" customHeight="1">
      <c r="A1257" s="14"/>
      <c r="C1257" s="16"/>
      <c r="D1257" s="16"/>
    </row>
    <row r="1258" spans="1:4" ht="17.25" customHeight="1">
      <c r="A1258" s="14"/>
      <c r="C1258" s="16"/>
      <c r="D1258" s="16"/>
    </row>
    <row r="1259" spans="1:4" ht="17.25" customHeight="1">
      <c r="A1259" s="14"/>
      <c r="C1259" s="16"/>
      <c r="D1259" s="16"/>
    </row>
    <row r="1260" spans="1:4" ht="17.25" customHeight="1">
      <c r="A1260" s="14"/>
      <c r="C1260" s="16"/>
      <c r="D1260" s="16"/>
    </row>
    <row r="1261" spans="1:4" ht="17.25" customHeight="1">
      <c r="A1261" s="14"/>
      <c r="C1261" s="16"/>
      <c r="D1261" s="16"/>
    </row>
    <row r="1262" spans="1:4" ht="17.25" customHeight="1">
      <c r="A1262" s="14"/>
      <c r="C1262" s="16"/>
      <c r="D1262" s="16"/>
    </row>
    <row r="1263" spans="1:4" ht="17.25" customHeight="1">
      <c r="A1263" s="14"/>
      <c r="C1263" s="16"/>
      <c r="D1263" s="16"/>
    </row>
    <row r="1264" spans="1:4" ht="17.25" customHeight="1">
      <c r="A1264" s="14"/>
      <c r="C1264" s="16"/>
      <c r="D1264" s="16"/>
    </row>
    <row r="1265" spans="1:4" ht="17.25" customHeight="1">
      <c r="A1265" s="14"/>
      <c r="C1265" s="16"/>
      <c r="D1265" s="16"/>
    </row>
    <row r="1266" spans="1:4" ht="17.25" customHeight="1">
      <c r="A1266" s="14"/>
      <c r="C1266" s="16"/>
      <c r="D1266" s="16"/>
    </row>
    <row r="1267" spans="1:4" ht="17.25" customHeight="1">
      <c r="A1267" s="14"/>
      <c r="C1267" s="16"/>
      <c r="D1267" s="16"/>
    </row>
    <row r="1268" spans="1:4" ht="17.25" customHeight="1">
      <c r="A1268" s="14"/>
      <c r="C1268" s="16"/>
      <c r="D1268" s="16"/>
    </row>
    <row r="1269" spans="1:4" ht="17.25" customHeight="1">
      <c r="A1269" s="14"/>
      <c r="C1269" s="16"/>
      <c r="D1269" s="16"/>
    </row>
    <row r="1270" spans="1:4" ht="17.25" customHeight="1">
      <c r="A1270" s="14"/>
      <c r="C1270" s="16"/>
      <c r="D1270" s="16"/>
    </row>
    <row r="1271" spans="1:4" ht="17.25" customHeight="1">
      <c r="A1271" s="14"/>
      <c r="C1271" s="16"/>
      <c r="D1271" s="16"/>
    </row>
    <row r="1272" spans="1:4" ht="17.25" customHeight="1">
      <c r="A1272" s="14"/>
      <c r="C1272" s="16"/>
      <c r="D1272" s="16"/>
    </row>
    <row r="1273" spans="1:4" ht="17.25" customHeight="1">
      <c r="A1273" s="14"/>
      <c r="C1273" s="16"/>
      <c r="D1273" s="16"/>
    </row>
    <row r="1274" spans="1:4" ht="17.25" customHeight="1">
      <c r="A1274" s="14"/>
      <c r="C1274" s="16"/>
      <c r="D1274" s="16"/>
    </row>
    <row r="1275" spans="1:4" ht="17.25" customHeight="1">
      <c r="A1275" s="14"/>
      <c r="C1275" s="16"/>
      <c r="D1275" s="16"/>
    </row>
    <row r="1276" spans="1:4" ht="17.25" customHeight="1">
      <c r="A1276" s="14"/>
      <c r="C1276" s="16"/>
      <c r="D1276" s="16"/>
    </row>
    <row r="1277" spans="1:4" ht="17.25" customHeight="1">
      <c r="A1277" s="14"/>
      <c r="C1277" s="16"/>
      <c r="D1277" s="16"/>
    </row>
    <row r="1278" spans="1:4" ht="17.25" customHeight="1">
      <c r="A1278" s="14"/>
      <c r="C1278" s="16"/>
      <c r="D1278" s="16"/>
    </row>
    <row r="1279" spans="1:4" ht="17.25" customHeight="1">
      <c r="A1279" s="14"/>
      <c r="C1279" s="16"/>
      <c r="D1279" s="16"/>
    </row>
    <row r="1280" spans="1:4" ht="17.25" customHeight="1">
      <c r="A1280" s="14"/>
      <c r="C1280" s="16"/>
      <c r="D1280" s="16"/>
    </row>
    <row r="1281" spans="1:4" ht="17.25" customHeight="1">
      <c r="A1281" s="14"/>
      <c r="C1281" s="16"/>
      <c r="D1281" s="16"/>
    </row>
    <row r="1282" spans="1:4" ht="17.25" customHeight="1">
      <c r="A1282" s="14"/>
      <c r="C1282" s="16"/>
      <c r="D1282" s="16"/>
    </row>
    <row r="1283" spans="1:4" ht="17.25" customHeight="1">
      <c r="A1283" s="14"/>
      <c r="C1283" s="16"/>
      <c r="D1283" s="16"/>
    </row>
    <row r="1284" spans="1:4" ht="17.25" customHeight="1">
      <c r="A1284" s="14"/>
      <c r="C1284" s="16"/>
      <c r="D1284" s="16"/>
    </row>
    <row r="1285" spans="1:4" ht="17.25" customHeight="1">
      <c r="A1285" s="14"/>
      <c r="C1285" s="16"/>
      <c r="D1285" s="16"/>
    </row>
    <row r="1286" spans="1:4" ht="17.25" customHeight="1">
      <c r="A1286" s="14"/>
      <c r="C1286" s="16"/>
      <c r="D1286" s="16"/>
    </row>
    <row r="1287" spans="1:4" ht="17.25" customHeight="1">
      <c r="A1287" s="14"/>
      <c r="C1287" s="16"/>
      <c r="D1287" s="16"/>
    </row>
    <row r="1288" spans="1:4" ht="17.25" customHeight="1">
      <c r="A1288" s="14"/>
      <c r="C1288" s="16"/>
      <c r="D1288" s="16"/>
    </row>
    <row r="1289" spans="1:4" ht="17.25" customHeight="1">
      <c r="A1289" s="14"/>
      <c r="C1289" s="16"/>
      <c r="D1289" s="16"/>
    </row>
    <row r="1290" spans="1:4" ht="17.25" customHeight="1">
      <c r="A1290" s="14"/>
      <c r="C1290" s="16"/>
      <c r="D1290" s="16"/>
    </row>
    <row r="1291" spans="1:4" ht="17.25" customHeight="1">
      <c r="A1291" s="14"/>
      <c r="C1291" s="16"/>
      <c r="D1291" s="16"/>
    </row>
    <row r="1292" spans="1:4" ht="17.25" customHeight="1">
      <c r="A1292" s="14"/>
      <c r="C1292" s="16"/>
      <c r="D1292" s="16"/>
    </row>
    <row r="1293" spans="1:4" ht="17.25" customHeight="1">
      <c r="A1293" s="14"/>
      <c r="C1293" s="16"/>
      <c r="D1293" s="16"/>
    </row>
    <row r="1294" spans="1:4" ht="17.25" customHeight="1">
      <c r="A1294" s="14"/>
      <c r="C1294" s="16"/>
      <c r="D1294" s="16"/>
    </row>
    <row r="1295" spans="1:4" ht="17.25" customHeight="1">
      <c r="A1295" s="14"/>
      <c r="C1295" s="16"/>
      <c r="D1295" s="16"/>
    </row>
    <row r="1296" spans="1:4" ht="17.25" customHeight="1">
      <c r="A1296" s="14"/>
      <c r="C1296" s="16"/>
      <c r="D1296" s="16"/>
    </row>
    <row r="1297" spans="1:4" ht="17.25" customHeight="1">
      <c r="A1297" s="14"/>
      <c r="C1297" s="16"/>
      <c r="D1297" s="16"/>
    </row>
    <row r="1298" spans="1:4" ht="17.25" customHeight="1">
      <c r="A1298" s="14"/>
      <c r="C1298" s="16"/>
      <c r="D1298" s="16"/>
    </row>
    <row r="1299" spans="1:4" ht="17.25" customHeight="1">
      <c r="A1299" s="14"/>
      <c r="C1299" s="16"/>
      <c r="D1299" s="16"/>
    </row>
    <row r="1300" spans="1:4" ht="17.25" customHeight="1">
      <c r="A1300" s="14"/>
      <c r="C1300" s="16"/>
      <c r="D1300" s="16"/>
    </row>
    <row r="1301" spans="1:4" ht="17.25" customHeight="1">
      <c r="A1301" s="14"/>
      <c r="C1301" s="16"/>
      <c r="D1301" s="16"/>
    </row>
    <row r="1302" spans="1:4" ht="17.25" customHeight="1">
      <c r="A1302" s="14"/>
      <c r="C1302" s="16"/>
      <c r="D1302" s="16"/>
    </row>
    <row r="1303" spans="1:4" ht="17.25" customHeight="1">
      <c r="A1303" s="14"/>
      <c r="C1303" s="16"/>
      <c r="D1303" s="16"/>
    </row>
    <row r="1304" spans="1:4" ht="17.25" customHeight="1">
      <c r="A1304" s="14"/>
      <c r="C1304" s="16"/>
      <c r="D1304" s="16"/>
    </row>
    <row r="1305" spans="1:4" ht="17.25" customHeight="1">
      <c r="A1305" s="14"/>
      <c r="C1305" s="16"/>
      <c r="D1305" s="16"/>
    </row>
    <row r="1306" spans="1:4" ht="17.25" customHeight="1">
      <c r="A1306" s="14"/>
      <c r="C1306" s="16"/>
      <c r="D1306" s="16"/>
    </row>
    <row r="1307" spans="1:4" ht="17.25" customHeight="1">
      <c r="A1307" s="14"/>
      <c r="C1307" s="16"/>
      <c r="D1307" s="16"/>
    </row>
    <row r="1308" spans="1:4" ht="17.25" customHeight="1">
      <c r="A1308" s="14"/>
      <c r="C1308" s="16"/>
      <c r="D1308" s="16"/>
    </row>
    <row r="1309" spans="1:4" ht="17.25" customHeight="1">
      <c r="A1309" s="14"/>
      <c r="C1309" s="16"/>
      <c r="D1309" s="16"/>
    </row>
    <row r="1310" spans="1:4" ht="17.25" customHeight="1">
      <c r="A1310" s="14"/>
      <c r="C1310" s="16"/>
      <c r="D1310" s="16"/>
    </row>
    <row r="1311" spans="1:4" ht="17.25" customHeight="1">
      <c r="A1311" s="14"/>
      <c r="C1311" s="16"/>
      <c r="D1311" s="16"/>
    </row>
    <row r="1312" spans="1:4" ht="17.25" customHeight="1">
      <c r="A1312" s="14"/>
      <c r="C1312" s="16"/>
      <c r="D1312" s="16"/>
    </row>
    <row r="1313" spans="1:4" ht="17.25" customHeight="1">
      <c r="A1313" s="14"/>
      <c r="C1313" s="16"/>
      <c r="D1313" s="16"/>
    </row>
    <row r="1314" spans="1:4" ht="17.25" customHeight="1">
      <c r="A1314" s="14"/>
      <c r="C1314" s="16"/>
      <c r="D1314" s="16"/>
    </row>
    <row r="1315" spans="1:4" ht="17.25" customHeight="1">
      <c r="A1315" s="14"/>
      <c r="C1315" s="16"/>
      <c r="D1315" s="16"/>
    </row>
    <row r="1316" spans="1:4" ht="17.25" customHeight="1">
      <c r="A1316" s="14"/>
      <c r="C1316" s="16"/>
      <c r="D1316" s="16"/>
    </row>
    <row r="1317" spans="1:4" ht="17.25" customHeight="1">
      <c r="A1317" s="14"/>
      <c r="C1317" s="16"/>
      <c r="D1317" s="16"/>
    </row>
    <row r="1318" spans="1:4" ht="17.25" customHeight="1">
      <c r="A1318" s="14"/>
      <c r="C1318" s="16"/>
      <c r="D1318" s="16"/>
    </row>
    <row r="1319" spans="1:4" ht="17.25" customHeight="1">
      <c r="A1319" s="14"/>
      <c r="C1319" s="16"/>
      <c r="D1319" s="16"/>
    </row>
    <row r="1320" spans="1:4" ht="17.25" customHeight="1">
      <c r="A1320" s="14"/>
      <c r="C1320" s="16"/>
      <c r="D1320" s="16"/>
    </row>
    <row r="1321" spans="1:4" ht="17.25" customHeight="1">
      <c r="A1321" s="14"/>
      <c r="C1321" s="16"/>
      <c r="D1321" s="16"/>
    </row>
    <row r="1322" spans="1:4" ht="17.25" customHeight="1">
      <c r="A1322" s="14"/>
      <c r="C1322" s="16"/>
      <c r="D1322" s="16"/>
    </row>
    <row r="1323" spans="1:4" ht="17.25" customHeight="1">
      <c r="A1323" s="14"/>
      <c r="C1323" s="16"/>
      <c r="D1323" s="16"/>
    </row>
    <row r="1324" spans="1:4" ht="17.25" customHeight="1">
      <c r="A1324" s="14"/>
      <c r="C1324" s="16"/>
      <c r="D1324" s="16"/>
    </row>
    <row r="1325" spans="1:4" ht="17.25" customHeight="1">
      <c r="A1325" s="14"/>
      <c r="C1325" s="16"/>
      <c r="D1325" s="16"/>
    </row>
    <row r="1326" spans="1:4" ht="17.25" customHeight="1">
      <c r="A1326" s="14"/>
      <c r="C1326" s="16"/>
      <c r="D1326" s="16"/>
    </row>
    <row r="1327" spans="1:4" ht="17.25" customHeight="1">
      <c r="A1327" s="14"/>
      <c r="C1327" s="16"/>
      <c r="D1327" s="16"/>
    </row>
    <row r="1328" spans="1:4" ht="17.25" customHeight="1">
      <c r="A1328" s="14"/>
      <c r="C1328" s="16"/>
      <c r="D1328" s="16"/>
    </row>
    <row r="1329" spans="1:4" ht="17.25" customHeight="1">
      <c r="A1329" s="14"/>
      <c r="C1329" s="16"/>
      <c r="D1329" s="16"/>
    </row>
    <row r="1330" spans="1:4" ht="17.25" customHeight="1">
      <c r="A1330" s="14"/>
      <c r="C1330" s="16"/>
      <c r="D1330" s="16"/>
    </row>
    <row r="1331" spans="1:4" ht="17.25" customHeight="1">
      <c r="A1331" s="14"/>
      <c r="C1331" s="16"/>
      <c r="D1331" s="16"/>
    </row>
    <row r="1332" spans="1:4" ht="17.25" customHeight="1">
      <c r="A1332" s="14"/>
      <c r="C1332" s="16"/>
      <c r="D1332" s="16"/>
    </row>
    <row r="1333" spans="1:4" ht="17.25" customHeight="1">
      <c r="A1333" s="14"/>
      <c r="C1333" s="16"/>
      <c r="D1333" s="16"/>
    </row>
    <row r="1334" spans="1:4" ht="17.25" customHeight="1">
      <c r="A1334" s="14"/>
      <c r="C1334" s="16"/>
      <c r="D1334" s="16"/>
    </row>
    <row r="1335" spans="1:4" ht="17.25" customHeight="1">
      <c r="A1335" s="14"/>
      <c r="C1335" s="16"/>
      <c r="D1335" s="16"/>
    </row>
    <row r="1336" spans="1:4" ht="17.25" customHeight="1">
      <c r="A1336" s="14"/>
      <c r="C1336" s="16"/>
      <c r="D1336" s="16"/>
    </row>
    <row r="1337" spans="1:4" ht="17.25" customHeight="1">
      <c r="A1337" s="14"/>
      <c r="C1337" s="16"/>
      <c r="D1337" s="16"/>
    </row>
    <row r="1338" spans="1:4" ht="17.25" customHeight="1">
      <c r="A1338" s="14"/>
      <c r="C1338" s="16"/>
      <c r="D1338" s="16"/>
    </row>
    <row r="1339" spans="1:4" ht="17.25" customHeight="1">
      <c r="A1339" s="14"/>
      <c r="C1339" s="16"/>
      <c r="D1339" s="16"/>
    </row>
    <row r="1340" spans="1:4" ht="17.25" customHeight="1">
      <c r="A1340" s="14"/>
      <c r="C1340" s="16"/>
      <c r="D1340" s="16"/>
    </row>
    <row r="1341" spans="1:4" ht="17.25" customHeight="1">
      <c r="A1341" s="14"/>
      <c r="C1341" s="16"/>
      <c r="D1341" s="16"/>
    </row>
    <row r="1342" spans="1:4" ht="17.25" customHeight="1">
      <c r="A1342" s="14"/>
      <c r="C1342" s="16"/>
      <c r="D1342" s="16"/>
    </row>
    <row r="1343" spans="1:4" ht="17.25" customHeight="1">
      <c r="A1343" s="14"/>
      <c r="C1343" s="16"/>
      <c r="D1343" s="16"/>
    </row>
    <row r="1344" spans="1:4" ht="17.25" customHeight="1">
      <c r="A1344" s="14"/>
      <c r="C1344" s="16"/>
      <c r="D1344" s="16"/>
    </row>
    <row r="1345" spans="1:4" ht="17.25" customHeight="1">
      <c r="A1345" s="14"/>
      <c r="C1345" s="16"/>
      <c r="D1345" s="16"/>
    </row>
    <row r="1346" spans="1:4" ht="17.25" customHeight="1">
      <c r="A1346" s="14"/>
      <c r="C1346" s="16"/>
      <c r="D1346" s="16"/>
    </row>
    <row r="1347" spans="1:4" ht="17.25" customHeight="1">
      <c r="A1347" s="14"/>
      <c r="C1347" s="16"/>
      <c r="D1347" s="16"/>
    </row>
    <row r="1348" spans="1:4" ht="17.25" customHeight="1">
      <c r="A1348" s="14"/>
      <c r="C1348" s="16"/>
      <c r="D1348" s="16"/>
    </row>
    <row r="1349" spans="1:4" ht="17.25" customHeight="1">
      <c r="A1349" s="14"/>
      <c r="C1349" s="16"/>
      <c r="D1349" s="16"/>
    </row>
    <row r="1350" spans="1:4" ht="17.25" customHeight="1">
      <c r="A1350" s="14"/>
      <c r="C1350" s="16"/>
      <c r="D1350" s="16"/>
    </row>
    <row r="1351" spans="1:4" ht="17.25" customHeight="1">
      <c r="A1351" s="14"/>
      <c r="C1351" s="16"/>
      <c r="D1351" s="16"/>
    </row>
    <row r="1352" spans="1:4" ht="17.25" customHeight="1">
      <c r="A1352" s="14"/>
      <c r="C1352" s="16"/>
      <c r="D1352" s="16"/>
    </row>
    <row r="1353" spans="1:4" ht="17.25" customHeight="1">
      <c r="A1353" s="14"/>
      <c r="C1353" s="16"/>
      <c r="D1353" s="16"/>
    </row>
    <row r="1354" spans="1:4" ht="17.25" customHeight="1">
      <c r="A1354" s="14"/>
      <c r="C1354" s="16"/>
      <c r="D1354" s="16"/>
    </row>
    <row r="1355" spans="1:4" ht="17.25" customHeight="1">
      <c r="A1355" s="14"/>
      <c r="C1355" s="16"/>
      <c r="D1355" s="16"/>
    </row>
    <row r="1356" spans="1:4" ht="17.25" customHeight="1">
      <c r="A1356" s="14"/>
      <c r="C1356" s="16"/>
      <c r="D1356" s="16"/>
    </row>
    <row r="1357" spans="1:4" ht="17.25" customHeight="1">
      <c r="A1357" s="14"/>
      <c r="C1357" s="16"/>
      <c r="D1357" s="16"/>
    </row>
    <row r="1358" spans="1:4" ht="17.25" customHeight="1">
      <c r="A1358" s="14"/>
      <c r="C1358" s="16"/>
      <c r="D1358" s="16"/>
    </row>
    <row r="1359" spans="1:4" ht="17.25" customHeight="1">
      <c r="A1359" s="14"/>
      <c r="C1359" s="16"/>
      <c r="D1359" s="16"/>
    </row>
    <row r="1360" spans="1:4" ht="17.25" customHeight="1">
      <c r="A1360" s="14"/>
      <c r="C1360" s="16"/>
      <c r="D1360" s="16"/>
    </row>
    <row r="1361" spans="1:4" ht="17.25" customHeight="1">
      <c r="A1361" s="14"/>
      <c r="C1361" s="16"/>
      <c r="D1361" s="16"/>
    </row>
    <row r="1362" spans="1:4" ht="17.25" customHeight="1">
      <c r="A1362" s="14"/>
      <c r="C1362" s="16"/>
      <c r="D1362" s="16"/>
    </row>
    <row r="1363" spans="1:4" ht="17.25" customHeight="1">
      <c r="A1363" s="14"/>
      <c r="C1363" s="16"/>
      <c r="D1363" s="16"/>
    </row>
    <row r="1364" spans="1:4" ht="17.25" customHeight="1">
      <c r="A1364" s="14"/>
      <c r="C1364" s="16"/>
      <c r="D1364" s="16"/>
    </row>
    <row r="1365" spans="1:4" ht="17.25" customHeight="1">
      <c r="A1365" s="14"/>
      <c r="C1365" s="16"/>
      <c r="D1365" s="16"/>
    </row>
    <row r="1366" spans="1:4" ht="17.25" customHeight="1">
      <c r="A1366" s="14"/>
      <c r="C1366" s="16"/>
      <c r="D1366" s="16"/>
    </row>
    <row r="1367" spans="1:4" ht="17.25" customHeight="1">
      <c r="A1367" s="14"/>
      <c r="C1367" s="16"/>
      <c r="D1367" s="16"/>
    </row>
    <row r="1368" spans="1:4" ht="17.25" customHeight="1">
      <c r="A1368" s="14"/>
      <c r="C1368" s="16"/>
      <c r="D1368" s="16"/>
    </row>
    <row r="1369" spans="1:4" ht="17.25" customHeight="1">
      <c r="A1369" s="14"/>
      <c r="C1369" s="16"/>
      <c r="D1369" s="16"/>
    </row>
    <row r="1370" spans="1:4" ht="17.25" customHeight="1">
      <c r="A1370" s="14"/>
      <c r="C1370" s="16"/>
      <c r="D1370" s="16"/>
    </row>
    <row r="1371" spans="1:4" ht="17.25" customHeight="1">
      <c r="A1371" s="14"/>
      <c r="C1371" s="16"/>
      <c r="D1371" s="16"/>
    </row>
    <row r="1372" spans="1:4" ht="17.25" customHeight="1">
      <c r="A1372" s="14"/>
      <c r="C1372" s="16"/>
      <c r="D1372" s="16"/>
    </row>
    <row r="1373" spans="1:4" ht="17.25" customHeight="1">
      <c r="A1373" s="14"/>
      <c r="C1373" s="16"/>
      <c r="D1373" s="16"/>
    </row>
    <row r="1374" spans="1:4" ht="17.25" customHeight="1">
      <c r="A1374" s="14"/>
      <c r="C1374" s="16"/>
      <c r="D1374" s="16"/>
    </row>
    <row r="1375" spans="1:4" ht="17.25" customHeight="1">
      <c r="A1375" s="14"/>
      <c r="C1375" s="16"/>
      <c r="D1375" s="16"/>
    </row>
    <row r="1376" spans="1:4" ht="17.25" customHeight="1">
      <c r="A1376" s="14"/>
      <c r="C1376" s="16"/>
      <c r="D1376" s="16"/>
    </row>
    <row r="1377" spans="1:4" ht="17.25" customHeight="1">
      <c r="A1377" s="14"/>
      <c r="C1377" s="16"/>
      <c r="D1377" s="16"/>
    </row>
    <row r="1378" spans="1:4" ht="17.25" customHeight="1">
      <c r="A1378" s="14"/>
      <c r="C1378" s="16"/>
      <c r="D1378" s="16"/>
    </row>
    <row r="1379" spans="1:4" ht="17.25" customHeight="1">
      <c r="A1379" s="14"/>
      <c r="C1379" s="16"/>
      <c r="D1379" s="16"/>
    </row>
    <row r="1380" spans="1:4" ht="17.25" customHeight="1">
      <c r="A1380" s="14"/>
      <c r="C1380" s="16"/>
      <c r="D1380" s="16"/>
    </row>
    <row r="1381" spans="1:4" ht="17.25" customHeight="1">
      <c r="A1381" s="14"/>
      <c r="C1381" s="16"/>
      <c r="D1381" s="16"/>
    </row>
    <row r="1382" spans="1:4" ht="17.25" customHeight="1">
      <c r="A1382" s="14"/>
      <c r="C1382" s="16"/>
      <c r="D1382" s="16"/>
    </row>
    <row r="1383" spans="1:4" ht="17.25" customHeight="1">
      <c r="A1383" s="14"/>
      <c r="C1383" s="16"/>
      <c r="D1383" s="16"/>
    </row>
    <row r="1384" spans="1:4" ht="17.25" customHeight="1">
      <c r="A1384" s="14"/>
      <c r="C1384" s="16"/>
      <c r="D1384" s="16"/>
    </row>
    <row r="1385" spans="1:4" ht="17.25" customHeight="1">
      <c r="A1385" s="14"/>
      <c r="C1385" s="16"/>
      <c r="D1385" s="16"/>
    </row>
    <row r="1386" spans="1:4" ht="17.25" customHeight="1">
      <c r="A1386" s="14"/>
      <c r="C1386" s="16"/>
      <c r="D1386" s="16"/>
    </row>
    <row r="1387" spans="1:4" ht="17.25" customHeight="1">
      <c r="A1387" s="14"/>
      <c r="C1387" s="16"/>
      <c r="D1387" s="16"/>
    </row>
    <row r="1388" spans="1:4" ht="17.25" customHeight="1">
      <c r="A1388" s="14"/>
      <c r="C1388" s="16"/>
      <c r="D1388" s="16"/>
    </row>
    <row r="1389" spans="1:4" ht="17.25" customHeight="1">
      <c r="A1389" s="14"/>
      <c r="C1389" s="16"/>
      <c r="D1389" s="16"/>
    </row>
    <row r="1390" spans="1:4" ht="17.25" customHeight="1">
      <c r="A1390" s="14"/>
      <c r="C1390" s="16"/>
      <c r="D1390" s="16"/>
    </row>
    <row r="1391" spans="1:4" ht="17.25" customHeight="1">
      <c r="A1391" s="14"/>
      <c r="C1391" s="16"/>
      <c r="D1391" s="16"/>
    </row>
    <row r="1392" spans="1:4" ht="17.25" customHeight="1">
      <c r="A1392" s="14"/>
      <c r="C1392" s="16"/>
      <c r="D1392" s="16"/>
    </row>
    <row r="1393" spans="1:4" ht="17.25" customHeight="1">
      <c r="A1393" s="14"/>
      <c r="C1393" s="16"/>
      <c r="D1393" s="16"/>
    </row>
    <row r="1394" spans="1:4" ht="17.25" customHeight="1">
      <c r="A1394" s="14"/>
      <c r="C1394" s="16"/>
      <c r="D1394" s="16"/>
    </row>
    <row r="1395" spans="1:4" ht="17.25" customHeight="1">
      <c r="A1395" s="14"/>
      <c r="C1395" s="16"/>
      <c r="D1395" s="16"/>
    </row>
    <row r="1396" spans="1:4" ht="17.25" customHeight="1">
      <c r="A1396" s="14"/>
      <c r="C1396" s="16"/>
      <c r="D1396" s="16"/>
    </row>
    <row r="1397" spans="1:4" ht="17.25" customHeight="1">
      <c r="A1397" s="14"/>
      <c r="C1397" s="16"/>
      <c r="D1397" s="16"/>
    </row>
    <row r="1398" spans="1:4" ht="17.25" customHeight="1">
      <c r="A1398" s="14"/>
      <c r="C1398" s="16"/>
      <c r="D1398" s="16"/>
    </row>
    <row r="1399" spans="1:4" ht="17.25" customHeight="1">
      <c r="A1399" s="14"/>
      <c r="C1399" s="16"/>
      <c r="D1399" s="16"/>
    </row>
    <row r="1400" spans="1:4" ht="17.25" customHeight="1">
      <c r="A1400" s="14"/>
      <c r="C1400" s="16"/>
      <c r="D1400" s="16"/>
    </row>
    <row r="1401" spans="1:4" ht="17.25" customHeight="1">
      <c r="A1401" s="14"/>
      <c r="C1401" s="16"/>
      <c r="D1401" s="16"/>
    </row>
    <row r="1402" spans="1:4" ht="17.25" customHeight="1">
      <c r="A1402" s="14"/>
      <c r="C1402" s="16"/>
      <c r="D1402" s="16"/>
    </row>
    <row r="1403" spans="1:4" ht="17.25" customHeight="1">
      <c r="A1403" s="14"/>
      <c r="C1403" s="16"/>
      <c r="D1403" s="16"/>
    </row>
    <row r="1404" spans="1:4" ht="17.25" customHeight="1">
      <c r="A1404" s="14"/>
      <c r="C1404" s="16"/>
      <c r="D1404" s="16"/>
    </row>
    <row r="1405" spans="1:4" ht="17.25" customHeight="1">
      <c r="A1405" s="14"/>
      <c r="C1405" s="16"/>
      <c r="D1405" s="16"/>
    </row>
    <row r="1406" spans="1:4" ht="17.25" customHeight="1">
      <c r="A1406" s="14"/>
      <c r="C1406" s="16"/>
      <c r="D1406" s="16"/>
    </row>
    <row r="1407" spans="1:4" ht="17.25" customHeight="1">
      <c r="A1407" s="14"/>
      <c r="C1407" s="16"/>
      <c r="D1407" s="16"/>
    </row>
    <row r="1408" spans="1:4" ht="17.25" customHeight="1">
      <c r="A1408" s="14"/>
      <c r="C1408" s="16"/>
      <c r="D1408" s="16"/>
    </row>
    <row r="1409" spans="1:4" ht="17.25" customHeight="1">
      <c r="A1409" s="14"/>
      <c r="C1409" s="16"/>
      <c r="D1409" s="16"/>
    </row>
    <row r="1410" spans="1:4" ht="17.25" customHeight="1">
      <c r="A1410" s="14"/>
      <c r="C1410" s="16"/>
      <c r="D1410" s="16"/>
    </row>
    <row r="1411" spans="1:4" ht="17.25" customHeight="1">
      <c r="A1411" s="14"/>
      <c r="C1411" s="16"/>
      <c r="D1411" s="16"/>
    </row>
    <row r="1412" spans="1:4" ht="17.25" customHeight="1">
      <c r="A1412" s="14"/>
      <c r="C1412" s="16"/>
      <c r="D1412" s="16"/>
    </row>
    <row r="1413" spans="1:4" ht="17.25" customHeight="1">
      <c r="A1413" s="14"/>
      <c r="C1413" s="16"/>
      <c r="D1413" s="16"/>
    </row>
    <row r="1414" spans="1:4" ht="17.25" customHeight="1">
      <c r="A1414" s="14"/>
      <c r="C1414" s="16"/>
      <c r="D1414" s="16"/>
    </row>
    <row r="1415" spans="1:4" ht="17.25" customHeight="1">
      <c r="A1415" s="14"/>
      <c r="C1415" s="16"/>
      <c r="D1415" s="16"/>
    </row>
    <row r="1416" spans="1:4" ht="17.25" customHeight="1">
      <c r="A1416" s="14"/>
      <c r="C1416" s="16"/>
      <c r="D1416" s="16"/>
    </row>
    <row r="1417" spans="1:4" ht="17.25" customHeight="1">
      <c r="A1417" s="14"/>
      <c r="C1417" s="16"/>
      <c r="D1417" s="16"/>
    </row>
    <row r="1418" spans="1:4" ht="17.25" customHeight="1">
      <c r="A1418" s="14"/>
      <c r="C1418" s="16"/>
      <c r="D1418" s="16"/>
    </row>
    <row r="1419" spans="1:4" ht="17.25" customHeight="1">
      <c r="A1419" s="14"/>
      <c r="C1419" s="16"/>
      <c r="D1419" s="16"/>
    </row>
    <row r="1420" spans="1:4" ht="17.25" customHeight="1">
      <c r="A1420" s="14"/>
      <c r="C1420" s="16"/>
      <c r="D1420" s="16"/>
    </row>
    <row r="1421" spans="1:4" ht="17.25" customHeight="1">
      <c r="A1421" s="14"/>
      <c r="C1421" s="16"/>
      <c r="D1421" s="16"/>
    </row>
    <row r="1422" spans="1:4" ht="17.25" customHeight="1">
      <c r="A1422" s="14"/>
      <c r="C1422" s="16"/>
      <c r="D1422" s="16"/>
    </row>
    <row r="1423" spans="1:4" ht="17.25" customHeight="1">
      <c r="A1423" s="14"/>
      <c r="C1423" s="16"/>
      <c r="D1423" s="16"/>
    </row>
    <row r="1424" spans="1:4" ht="17.25" customHeight="1">
      <c r="A1424" s="14"/>
      <c r="C1424" s="16"/>
      <c r="D1424" s="16"/>
    </row>
    <row r="1425" spans="1:4" ht="17.25" customHeight="1">
      <c r="A1425" s="14"/>
      <c r="C1425" s="16"/>
      <c r="D1425" s="16"/>
    </row>
    <row r="1426" spans="1:4" ht="17.25" customHeight="1">
      <c r="A1426" s="14"/>
      <c r="C1426" s="16"/>
      <c r="D1426" s="16"/>
    </row>
    <row r="1427" spans="1:4" ht="17.25" customHeight="1">
      <c r="A1427" s="14"/>
      <c r="C1427" s="16"/>
      <c r="D1427" s="16"/>
    </row>
    <row r="1428" spans="1:4" ht="17.25" customHeight="1">
      <c r="A1428" s="14"/>
      <c r="C1428" s="16"/>
      <c r="D1428" s="16"/>
    </row>
    <row r="1429" spans="1:4" ht="17.25" customHeight="1">
      <c r="A1429" s="14"/>
      <c r="C1429" s="16"/>
      <c r="D1429" s="16"/>
    </row>
    <row r="1430" spans="1:4" ht="17.25" customHeight="1">
      <c r="A1430" s="14"/>
      <c r="C1430" s="16"/>
      <c r="D1430" s="16"/>
    </row>
    <row r="1431" spans="1:4" ht="17.25" customHeight="1">
      <c r="A1431" s="14"/>
      <c r="C1431" s="16"/>
      <c r="D1431" s="16"/>
    </row>
    <row r="1432" spans="1:4" ht="17.25" customHeight="1">
      <c r="A1432" s="14"/>
      <c r="C1432" s="16"/>
      <c r="D1432" s="16"/>
    </row>
    <row r="1433" spans="1:4" ht="17.25" customHeight="1">
      <c r="A1433" s="14"/>
      <c r="C1433" s="16"/>
      <c r="D1433" s="16"/>
    </row>
    <row r="1434" spans="1:4" ht="17.25" customHeight="1">
      <c r="A1434" s="14"/>
      <c r="C1434" s="16"/>
      <c r="D1434" s="16"/>
    </row>
    <row r="1435" spans="1:4" ht="17.25" customHeight="1">
      <c r="A1435" s="14"/>
      <c r="C1435" s="16"/>
      <c r="D1435" s="16"/>
    </row>
    <row r="1436" spans="1:4" ht="17.25" customHeight="1">
      <c r="A1436" s="14"/>
      <c r="C1436" s="16"/>
      <c r="D1436" s="16"/>
    </row>
    <row r="1437" spans="1:4" ht="17.25" customHeight="1">
      <c r="A1437" s="14"/>
      <c r="C1437" s="16"/>
      <c r="D1437" s="16"/>
    </row>
    <row r="1438" spans="1:4" ht="17.25" customHeight="1">
      <c r="A1438" s="14"/>
      <c r="C1438" s="16"/>
      <c r="D1438" s="16"/>
    </row>
    <row r="1439" spans="1:4" ht="17.25" customHeight="1">
      <c r="A1439" s="14"/>
      <c r="C1439" s="16"/>
      <c r="D1439" s="16"/>
    </row>
    <row r="1440" spans="1:4" ht="17.25" customHeight="1">
      <c r="A1440" s="14"/>
      <c r="C1440" s="16"/>
      <c r="D1440" s="16"/>
    </row>
    <row r="1441" spans="1:4" ht="17.25" customHeight="1">
      <c r="A1441" s="14"/>
      <c r="C1441" s="16"/>
      <c r="D1441" s="16"/>
    </row>
    <row r="1442" spans="1:4" ht="17.25" customHeight="1">
      <c r="A1442" s="14"/>
      <c r="C1442" s="16"/>
      <c r="D1442" s="16"/>
    </row>
    <row r="1443" spans="1:4" ht="17.25" customHeight="1">
      <c r="A1443" s="14"/>
      <c r="C1443" s="16"/>
      <c r="D1443" s="16"/>
    </row>
    <row r="1444" spans="1:4" ht="17.25" customHeight="1">
      <c r="A1444" s="14"/>
      <c r="C1444" s="16"/>
      <c r="D1444" s="16"/>
    </row>
    <row r="1445" spans="1:4" ht="17.25" customHeight="1">
      <c r="A1445" s="14"/>
      <c r="C1445" s="16"/>
      <c r="D1445" s="16"/>
    </row>
    <row r="1446" spans="1:4" ht="17.25" customHeight="1">
      <c r="A1446" s="14"/>
      <c r="C1446" s="16"/>
      <c r="D1446" s="16"/>
    </row>
    <row r="1447" spans="1:4" ht="17.25" customHeight="1">
      <c r="A1447" s="14"/>
      <c r="C1447" s="16"/>
      <c r="D1447" s="16"/>
    </row>
    <row r="1448" spans="1:4" ht="17.25" customHeight="1">
      <c r="A1448" s="14"/>
      <c r="C1448" s="16"/>
      <c r="D1448" s="16"/>
    </row>
    <row r="1449" spans="1:4" ht="17.25" customHeight="1">
      <c r="A1449" s="14"/>
      <c r="C1449" s="16"/>
      <c r="D1449" s="16"/>
    </row>
    <row r="1450" spans="1:4" ht="17.25" customHeight="1">
      <c r="A1450" s="14"/>
      <c r="C1450" s="16"/>
      <c r="D1450" s="16"/>
    </row>
    <row r="1451" spans="1:4" ht="17.25" customHeight="1">
      <c r="A1451" s="14"/>
      <c r="C1451" s="16"/>
      <c r="D1451" s="16"/>
    </row>
    <row r="1452" spans="1:4" ht="17.25" customHeight="1">
      <c r="A1452" s="14"/>
      <c r="C1452" s="16"/>
      <c r="D1452" s="16"/>
    </row>
    <row r="1453" spans="1:4" ht="17.25" customHeight="1">
      <c r="A1453" s="14"/>
      <c r="C1453" s="16"/>
      <c r="D1453" s="16"/>
    </row>
    <row r="1454" spans="1:4" ht="17.25" customHeight="1">
      <c r="A1454" s="14"/>
      <c r="C1454" s="16"/>
      <c r="D1454" s="16"/>
    </row>
    <row r="1455" spans="1:4" ht="17.25" customHeight="1">
      <c r="A1455" s="14"/>
      <c r="C1455" s="16"/>
      <c r="D1455" s="16"/>
    </row>
    <row r="1456" spans="1:4" ht="17.25" customHeight="1">
      <c r="A1456" s="14"/>
      <c r="C1456" s="16"/>
      <c r="D1456" s="16"/>
    </row>
    <row r="1457" spans="1:4" ht="17.25" customHeight="1">
      <c r="A1457" s="14"/>
      <c r="C1457" s="16"/>
      <c r="D1457" s="16"/>
    </row>
    <row r="1458" spans="1:4" ht="17.25" customHeight="1">
      <c r="A1458" s="14"/>
      <c r="C1458" s="16"/>
      <c r="D1458" s="16"/>
    </row>
    <row r="1459" spans="1:4" ht="17.25" customHeight="1">
      <c r="A1459" s="14"/>
      <c r="C1459" s="16"/>
      <c r="D1459" s="16"/>
    </row>
    <row r="1460" spans="1:4" ht="17.25" customHeight="1">
      <c r="A1460" s="14"/>
      <c r="C1460" s="16"/>
      <c r="D1460" s="16"/>
    </row>
    <row r="1461" spans="1:4" ht="17.25" customHeight="1">
      <c r="A1461" s="14"/>
      <c r="C1461" s="16"/>
      <c r="D1461" s="16"/>
    </row>
    <row r="1462" spans="1:4" ht="17.25" customHeight="1">
      <c r="A1462" s="14"/>
      <c r="C1462" s="16"/>
      <c r="D1462" s="16"/>
    </row>
    <row r="1463" spans="1:4" ht="17.25" customHeight="1">
      <c r="A1463" s="14"/>
      <c r="C1463" s="16"/>
      <c r="D1463" s="16"/>
    </row>
    <row r="1464" spans="1:4" ht="17.25" customHeight="1">
      <c r="A1464" s="14"/>
      <c r="C1464" s="16"/>
      <c r="D1464" s="16"/>
    </row>
    <row r="1465" spans="1:4" ht="17.25" customHeight="1">
      <c r="A1465" s="14"/>
      <c r="C1465" s="16"/>
      <c r="D1465" s="16"/>
    </row>
    <row r="1466" spans="1:4" ht="17.25" customHeight="1">
      <c r="A1466" s="14"/>
      <c r="C1466" s="16"/>
      <c r="D1466" s="16"/>
    </row>
    <row r="1467" spans="1:4" ht="17.25" customHeight="1">
      <c r="A1467" s="14"/>
      <c r="C1467" s="16"/>
      <c r="D1467" s="16"/>
    </row>
    <row r="1468" spans="1:4" ht="17.25" customHeight="1">
      <c r="A1468" s="14"/>
      <c r="C1468" s="16"/>
      <c r="D1468" s="16"/>
    </row>
    <row r="1469" spans="1:4" ht="17.25" customHeight="1">
      <c r="A1469" s="14"/>
      <c r="C1469" s="16"/>
      <c r="D1469" s="16"/>
    </row>
    <row r="1470" spans="1:4" ht="17.25" customHeight="1">
      <c r="A1470" s="14"/>
      <c r="C1470" s="16"/>
      <c r="D1470" s="16"/>
    </row>
    <row r="1471" spans="1:4" ht="17.25" customHeight="1">
      <c r="A1471" s="14"/>
      <c r="C1471" s="16"/>
      <c r="D1471" s="16"/>
    </row>
    <row r="1472" spans="1:4" ht="17.25" customHeight="1">
      <c r="A1472" s="14"/>
      <c r="C1472" s="16"/>
      <c r="D1472" s="16"/>
    </row>
    <row r="1473" spans="1:4" ht="17.25" customHeight="1">
      <c r="A1473" s="14"/>
      <c r="C1473" s="16"/>
      <c r="D1473" s="16"/>
    </row>
    <row r="1474" spans="1:4" ht="17.25" customHeight="1">
      <c r="A1474" s="14"/>
      <c r="C1474" s="16"/>
      <c r="D1474" s="16"/>
    </row>
    <row r="1475" spans="1:4" ht="17.25" customHeight="1">
      <c r="A1475" s="14"/>
      <c r="C1475" s="16"/>
      <c r="D1475" s="16"/>
    </row>
    <row r="1476" spans="1:4" ht="17.25" customHeight="1">
      <c r="A1476" s="14"/>
      <c r="C1476" s="16"/>
      <c r="D1476" s="16"/>
    </row>
    <row r="1477" spans="1:4" ht="17.25" customHeight="1">
      <c r="A1477" s="14"/>
      <c r="C1477" s="16"/>
      <c r="D1477" s="16"/>
    </row>
    <row r="1478" spans="1:4" ht="17.25" customHeight="1">
      <c r="A1478" s="14"/>
      <c r="C1478" s="16"/>
      <c r="D1478" s="16"/>
    </row>
    <row r="1479" spans="1:4" ht="17.25" customHeight="1">
      <c r="A1479" s="14"/>
      <c r="C1479" s="16"/>
      <c r="D1479" s="16"/>
    </row>
    <row r="1480" spans="1:4" ht="17.25" customHeight="1">
      <c r="A1480" s="14"/>
      <c r="C1480" s="16"/>
      <c r="D1480" s="16"/>
    </row>
    <row r="1481" spans="1:4" ht="17.25" customHeight="1">
      <c r="A1481" s="14"/>
      <c r="C1481" s="16"/>
      <c r="D1481" s="16"/>
    </row>
    <row r="1482" spans="1:4" ht="17.25" customHeight="1">
      <c r="A1482" s="14"/>
      <c r="C1482" s="16"/>
      <c r="D1482" s="16"/>
    </row>
    <row r="1483" spans="1:4" ht="17.25" customHeight="1">
      <c r="A1483" s="14"/>
      <c r="C1483" s="16"/>
      <c r="D1483" s="16"/>
    </row>
    <row r="1484" spans="1:4" ht="17.25" customHeight="1">
      <c r="A1484" s="14"/>
      <c r="C1484" s="16"/>
      <c r="D1484" s="16"/>
    </row>
    <row r="1485" spans="1:4" ht="17.25" customHeight="1">
      <c r="A1485" s="14"/>
      <c r="C1485" s="16"/>
      <c r="D1485" s="16"/>
    </row>
    <row r="1486" spans="1:4" ht="17.25" customHeight="1">
      <c r="A1486" s="14"/>
      <c r="C1486" s="16"/>
      <c r="D1486" s="16"/>
    </row>
    <row r="1487" spans="1:4" ht="17.25" customHeight="1">
      <c r="A1487" s="14"/>
      <c r="C1487" s="16"/>
      <c r="D1487" s="16"/>
    </row>
    <row r="1488" spans="1:4" ht="17.25" customHeight="1">
      <c r="A1488" s="14"/>
      <c r="C1488" s="16"/>
      <c r="D1488" s="16"/>
    </row>
    <row r="1489" spans="1:4" ht="17.25" customHeight="1">
      <c r="A1489" s="14"/>
      <c r="C1489" s="16"/>
      <c r="D1489" s="16"/>
    </row>
    <row r="1490" spans="1:4" ht="17.25" customHeight="1">
      <c r="A1490" s="14"/>
      <c r="C1490" s="16"/>
      <c r="D1490" s="16"/>
    </row>
    <row r="1491" spans="1:4" ht="17.25" customHeight="1">
      <c r="A1491" s="14"/>
      <c r="C1491" s="16"/>
      <c r="D1491" s="16"/>
    </row>
    <row r="1492" spans="1:4" ht="17.25" customHeight="1">
      <c r="A1492" s="14"/>
      <c r="C1492" s="16"/>
      <c r="D1492" s="16"/>
    </row>
    <row r="1493" spans="1:4" ht="17.25" customHeight="1">
      <c r="A1493" s="14"/>
      <c r="C1493" s="16"/>
      <c r="D1493" s="16"/>
    </row>
    <row r="1494" spans="1:4" ht="17.25" customHeight="1">
      <c r="A1494" s="14"/>
      <c r="C1494" s="16"/>
      <c r="D1494" s="16"/>
    </row>
    <row r="1495" spans="1:4" ht="17.25" customHeight="1">
      <c r="A1495" s="14"/>
      <c r="C1495" s="16"/>
      <c r="D1495" s="16"/>
    </row>
    <row r="1496" spans="1:4" ht="17.25" customHeight="1">
      <c r="A1496" s="14"/>
      <c r="C1496" s="16"/>
      <c r="D1496" s="16"/>
    </row>
    <row r="1497" spans="1:4" ht="17.25" customHeight="1">
      <c r="A1497" s="14"/>
      <c r="C1497" s="16"/>
      <c r="D1497" s="16"/>
    </row>
    <row r="1498" spans="1:4" ht="17.25" customHeight="1">
      <c r="A1498" s="14"/>
      <c r="C1498" s="16"/>
      <c r="D1498" s="16"/>
    </row>
    <row r="1499" spans="1:4" ht="17.25" customHeight="1">
      <c r="A1499" s="14"/>
      <c r="C1499" s="16"/>
      <c r="D1499" s="16"/>
    </row>
    <row r="1500" spans="1:4" ht="17.25" customHeight="1">
      <c r="A1500" s="14"/>
      <c r="C1500" s="16"/>
      <c r="D1500" s="16"/>
    </row>
    <row r="1501" spans="1:4" ht="17.25" customHeight="1">
      <c r="A1501" s="14"/>
      <c r="C1501" s="16"/>
      <c r="D1501" s="16"/>
    </row>
    <row r="1502" spans="1:4" ht="17.25" customHeight="1">
      <c r="A1502" s="14"/>
      <c r="C1502" s="16"/>
      <c r="D1502" s="16"/>
    </row>
    <row r="1503" spans="1:4" ht="17.25" customHeight="1">
      <c r="A1503" s="14"/>
      <c r="C1503" s="16"/>
      <c r="D1503" s="16"/>
    </row>
    <row r="1504" spans="1:4" ht="17.25" customHeight="1">
      <c r="A1504" s="14"/>
      <c r="C1504" s="16"/>
      <c r="D1504" s="16"/>
    </row>
    <row r="1505" spans="1:4" ht="17.25" customHeight="1">
      <c r="A1505" s="14"/>
      <c r="C1505" s="16"/>
      <c r="D1505" s="16"/>
    </row>
    <row r="1506" spans="1:4" ht="17.25" customHeight="1">
      <c r="A1506" s="14"/>
      <c r="C1506" s="16"/>
      <c r="D1506" s="16"/>
    </row>
    <row r="1507" spans="1:4" ht="17.25" customHeight="1">
      <c r="A1507" s="14"/>
      <c r="C1507" s="16"/>
      <c r="D1507" s="16"/>
    </row>
    <row r="1508" spans="1:4" ht="17.25" customHeight="1">
      <c r="A1508" s="14"/>
      <c r="C1508" s="16"/>
      <c r="D1508" s="16"/>
    </row>
    <row r="1509" spans="1:4" ht="17.25" customHeight="1">
      <c r="A1509" s="14"/>
      <c r="C1509" s="16"/>
      <c r="D1509" s="16"/>
    </row>
    <row r="1510" spans="1:4" ht="17.25" customHeight="1">
      <c r="A1510" s="14"/>
      <c r="C1510" s="16"/>
      <c r="D1510" s="16"/>
    </row>
    <row r="1511" spans="1:4" ht="17.25" customHeight="1">
      <c r="A1511" s="14"/>
      <c r="C1511" s="16"/>
      <c r="D1511" s="16"/>
    </row>
    <row r="1512" spans="1:4" ht="17.25" customHeight="1">
      <c r="A1512" s="14"/>
      <c r="C1512" s="16"/>
      <c r="D1512" s="16"/>
    </row>
    <row r="1513" spans="1:4" ht="17.25" customHeight="1">
      <c r="A1513" s="14"/>
      <c r="C1513" s="16"/>
      <c r="D1513" s="16"/>
    </row>
    <row r="1514" spans="1:4" ht="17.25" customHeight="1">
      <c r="A1514" s="14"/>
      <c r="C1514" s="16"/>
      <c r="D1514" s="16"/>
    </row>
    <row r="1515" spans="1:4" ht="17.25" customHeight="1">
      <c r="A1515" s="14"/>
      <c r="C1515" s="16"/>
      <c r="D1515" s="16"/>
    </row>
    <row r="1516" spans="1:4" ht="17.25" customHeight="1">
      <c r="A1516" s="14"/>
      <c r="C1516" s="16"/>
      <c r="D1516" s="16"/>
    </row>
    <row r="1517" spans="1:4" ht="17.25" customHeight="1">
      <c r="A1517" s="14"/>
      <c r="C1517" s="16"/>
      <c r="D1517" s="16"/>
    </row>
    <row r="1518" spans="1:4" ht="17.25" customHeight="1">
      <c r="A1518" s="14"/>
      <c r="C1518" s="16"/>
      <c r="D1518" s="16"/>
    </row>
    <row r="1519" spans="1:4" ht="17.25" customHeight="1">
      <c r="A1519" s="14"/>
      <c r="C1519" s="16"/>
      <c r="D1519" s="16"/>
    </row>
    <row r="1520" spans="1:4" ht="17.25" customHeight="1">
      <c r="A1520" s="14"/>
      <c r="C1520" s="16"/>
      <c r="D1520" s="16"/>
    </row>
    <row r="1521" spans="1:4" ht="17.25" customHeight="1">
      <c r="A1521" s="14"/>
      <c r="C1521" s="16"/>
      <c r="D1521" s="16"/>
    </row>
    <row r="1522" spans="1:4" ht="17.25" customHeight="1">
      <c r="A1522" s="14"/>
      <c r="C1522" s="16"/>
      <c r="D1522" s="16"/>
    </row>
    <row r="1523" spans="1:4" ht="17.25" customHeight="1">
      <c r="A1523" s="14"/>
      <c r="C1523" s="16"/>
      <c r="D1523" s="16"/>
    </row>
    <row r="1524" spans="1:4" ht="17.25" customHeight="1">
      <c r="A1524" s="14"/>
      <c r="C1524" s="16"/>
      <c r="D1524" s="16"/>
    </row>
    <row r="1525" spans="1:4" ht="17.25" customHeight="1">
      <c r="A1525" s="14"/>
      <c r="C1525" s="16"/>
      <c r="D1525" s="16"/>
    </row>
    <row r="1526" spans="1:4" ht="17.25" customHeight="1">
      <c r="A1526" s="14"/>
      <c r="C1526" s="16"/>
      <c r="D1526" s="16"/>
    </row>
    <row r="1527" spans="1:4" ht="17.25" customHeight="1">
      <c r="A1527" s="14"/>
      <c r="C1527" s="16"/>
      <c r="D1527" s="16"/>
    </row>
    <row r="1528" spans="1:4" ht="17.25" customHeight="1">
      <c r="A1528" s="14"/>
      <c r="C1528" s="16"/>
      <c r="D1528" s="16"/>
    </row>
    <row r="1529" spans="1:4" ht="17.25" customHeight="1">
      <c r="A1529" s="14"/>
      <c r="C1529" s="16"/>
      <c r="D1529" s="16"/>
    </row>
    <row r="1530" spans="1:4" ht="17.25" customHeight="1">
      <c r="A1530" s="14"/>
      <c r="C1530" s="16"/>
      <c r="D1530" s="16"/>
    </row>
    <row r="1531" spans="1:4" ht="17.25" customHeight="1">
      <c r="A1531" s="14"/>
      <c r="C1531" s="16"/>
      <c r="D1531" s="16"/>
    </row>
    <row r="1532" spans="1:4" ht="17.25" customHeight="1">
      <c r="A1532" s="14"/>
      <c r="C1532" s="16"/>
      <c r="D1532" s="16"/>
    </row>
    <row r="1533" spans="1:4" ht="17.25" customHeight="1">
      <c r="A1533" s="14"/>
      <c r="C1533" s="16"/>
      <c r="D1533" s="16"/>
    </row>
    <row r="1534" spans="1:4" ht="17.25" customHeight="1">
      <c r="A1534" s="14"/>
      <c r="C1534" s="16"/>
      <c r="D1534" s="16"/>
    </row>
    <row r="1535" spans="1:4" ht="17.25" customHeight="1">
      <c r="A1535" s="14"/>
      <c r="C1535" s="16"/>
      <c r="D1535" s="16"/>
    </row>
    <row r="1536" spans="1:4" ht="17.25" customHeight="1">
      <c r="A1536" s="14"/>
      <c r="C1536" s="16"/>
      <c r="D1536" s="16"/>
    </row>
    <row r="1537" spans="1:4" ht="17.25" customHeight="1">
      <c r="A1537" s="14"/>
      <c r="C1537" s="16"/>
      <c r="D1537" s="16"/>
    </row>
    <row r="1538" spans="1:4" ht="17.25" customHeight="1">
      <c r="A1538" s="14"/>
      <c r="C1538" s="16"/>
      <c r="D1538" s="16"/>
    </row>
    <row r="1539" spans="1:4" ht="17.25" customHeight="1">
      <c r="A1539" s="14"/>
      <c r="C1539" s="16"/>
      <c r="D1539" s="16"/>
    </row>
    <row r="1540" spans="1:4" ht="17.25" customHeight="1">
      <c r="A1540" s="14"/>
      <c r="C1540" s="16"/>
      <c r="D1540" s="16"/>
    </row>
    <row r="1541" spans="1:4" ht="17.25" customHeight="1">
      <c r="A1541" s="14"/>
      <c r="C1541" s="16"/>
      <c r="D1541" s="16"/>
    </row>
    <row r="1542" spans="1:4" ht="17.25" customHeight="1">
      <c r="A1542" s="14"/>
      <c r="C1542" s="16"/>
      <c r="D1542" s="16"/>
    </row>
    <row r="1543" spans="1:4" ht="17.25" customHeight="1">
      <c r="A1543" s="14"/>
      <c r="C1543" s="16"/>
      <c r="D1543" s="16"/>
    </row>
    <row r="1544" spans="1:4" ht="17.25" customHeight="1">
      <c r="A1544" s="14"/>
      <c r="C1544" s="16"/>
      <c r="D1544" s="16"/>
    </row>
    <row r="1545" spans="1:4" ht="17.25" customHeight="1">
      <c r="A1545" s="14"/>
      <c r="C1545" s="16"/>
      <c r="D1545" s="16"/>
    </row>
    <row r="1546" spans="1:4" ht="17.25" customHeight="1">
      <c r="A1546" s="14"/>
      <c r="C1546" s="16"/>
      <c r="D1546" s="16"/>
    </row>
    <row r="1547" spans="1:4" ht="17.25" customHeight="1">
      <c r="A1547" s="14"/>
      <c r="C1547" s="16"/>
      <c r="D1547" s="16"/>
    </row>
    <row r="1548" spans="1:4" ht="17.25" customHeight="1">
      <c r="A1548" s="14"/>
      <c r="C1548" s="16"/>
      <c r="D1548" s="16"/>
    </row>
    <row r="1549" spans="1:4" ht="17.25" customHeight="1">
      <c r="A1549" s="14"/>
      <c r="C1549" s="16"/>
      <c r="D1549" s="16"/>
    </row>
    <row r="1550" spans="1:4" ht="17.25" customHeight="1">
      <c r="A1550" s="14"/>
      <c r="C1550" s="16"/>
      <c r="D1550" s="16"/>
    </row>
    <row r="1551" spans="1:4" ht="17.25" customHeight="1">
      <c r="A1551" s="14"/>
      <c r="C1551" s="16"/>
      <c r="D1551" s="16"/>
    </row>
    <row r="1552" spans="1:4" ht="17.25" customHeight="1">
      <c r="A1552" s="14"/>
      <c r="C1552" s="16"/>
      <c r="D1552" s="16"/>
    </row>
    <row r="1553" spans="1:4" ht="17.25" customHeight="1">
      <c r="A1553" s="14"/>
      <c r="C1553" s="16"/>
      <c r="D1553" s="16"/>
    </row>
    <row r="1554" spans="1:4" ht="17.25" customHeight="1">
      <c r="A1554" s="14"/>
      <c r="C1554" s="16"/>
      <c r="D1554" s="16"/>
    </row>
    <row r="1555" spans="1:4" ht="17.25" customHeight="1">
      <c r="A1555" s="14"/>
      <c r="C1555" s="16"/>
      <c r="D1555" s="16"/>
    </row>
    <row r="1556" spans="1:4" ht="17.25" customHeight="1">
      <c r="A1556" s="14"/>
      <c r="C1556" s="16"/>
      <c r="D1556" s="16"/>
    </row>
    <row r="1557" spans="1:4" ht="17.25" customHeight="1">
      <c r="A1557" s="14"/>
      <c r="C1557" s="16"/>
      <c r="D1557" s="16"/>
    </row>
    <row r="1558" spans="1:4" ht="17.25" customHeight="1">
      <c r="A1558" s="14"/>
      <c r="C1558" s="16"/>
      <c r="D1558" s="16"/>
    </row>
    <row r="1559" spans="1:4" ht="17.25" customHeight="1">
      <c r="A1559" s="14"/>
      <c r="C1559" s="16"/>
      <c r="D1559" s="16"/>
    </row>
    <row r="1560" spans="1:4" ht="17.25" customHeight="1">
      <c r="A1560" s="14"/>
      <c r="C1560" s="16"/>
      <c r="D1560" s="16"/>
    </row>
    <row r="1561" spans="1:4" ht="17.25" customHeight="1">
      <c r="A1561" s="14"/>
      <c r="C1561" s="16"/>
      <c r="D1561" s="16"/>
    </row>
    <row r="1562" spans="1:4" ht="17.25" customHeight="1">
      <c r="A1562" s="14"/>
      <c r="C1562" s="16"/>
      <c r="D1562" s="16"/>
    </row>
    <row r="1563" spans="1:4" ht="17.25" customHeight="1">
      <c r="A1563" s="14"/>
      <c r="C1563" s="16"/>
      <c r="D1563" s="16"/>
    </row>
    <row r="1564" spans="1:4" ht="17.25" customHeight="1">
      <c r="A1564" s="14"/>
      <c r="C1564" s="16"/>
      <c r="D1564" s="16"/>
    </row>
    <row r="1565" spans="1:4" ht="17.25" customHeight="1">
      <c r="A1565" s="14"/>
      <c r="C1565" s="16"/>
      <c r="D1565" s="16"/>
    </row>
    <row r="1566" spans="1:4" ht="17.25" customHeight="1">
      <c r="A1566" s="14"/>
      <c r="C1566" s="16"/>
      <c r="D1566" s="16"/>
    </row>
    <row r="1567" spans="1:4" ht="17.25" customHeight="1">
      <c r="A1567" s="14"/>
      <c r="C1567" s="16"/>
      <c r="D1567" s="16"/>
    </row>
    <row r="1568" spans="1:4" ht="17.25" customHeight="1">
      <c r="A1568" s="14"/>
      <c r="C1568" s="16"/>
      <c r="D1568" s="16"/>
    </row>
    <row r="1569" spans="1:4" ht="17.25" customHeight="1">
      <c r="A1569" s="14"/>
      <c r="C1569" s="16"/>
      <c r="D1569" s="16"/>
    </row>
    <row r="1570" spans="1:4" ht="17.25" customHeight="1">
      <c r="A1570" s="14"/>
      <c r="C1570" s="16"/>
      <c r="D1570" s="16"/>
    </row>
    <row r="1571" spans="1:4" ht="17.25" customHeight="1">
      <c r="A1571" s="14"/>
      <c r="C1571" s="16"/>
      <c r="D1571" s="16"/>
    </row>
    <row r="1572" spans="1:4" ht="17.25" customHeight="1">
      <c r="A1572" s="14"/>
      <c r="C1572" s="16"/>
      <c r="D1572" s="16"/>
    </row>
    <row r="1573" spans="1:4" ht="17.25" customHeight="1">
      <c r="A1573" s="14"/>
      <c r="C1573" s="16"/>
      <c r="D1573" s="16"/>
    </row>
    <row r="1574" spans="1:4" ht="17.25" customHeight="1">
      <c r="A1574" s="14"/>
      <c r="C1574" s="16"/>
      <c r="D1574" s="16"/>
    </row>
    <row r="1575" spans="1:4" ht="17.25" customHeight="1">
      <c r="A1575" s="14"/>
      <c r="C1575" s="16"/>
      <c r="D1575" s="16"/>
    </row>
    <row r="1576" spans="1:4" ht="17.25" customHeight="1">
      <c r="A1576" s="14"/>
      <c r="C1576" s="16"/>
      <c r="D1576" s="16"/>
    </row>
    <row r="1577" spans="1:4" ht="17.25" customHeight="1">
      <c r="A1577" s="14"/>
      <c r="C1577" s="16"/>
      <c r="D1577" s="16"/>
    </row>
    <row r="1578" spans="1:4" ht="17.25" customHeight="1">
      <c r="A1578" s="14"/>
      <c r="C1578" s="16"/>
      <c r="D1578" s="16"/>
    </row>
    <row r="1579" spans="1:4" ht="17.25" customHeight="1">
      <c r="A1579" s="14"/>
      <c r="C1579" s="16"/>
      <c r="D1579" s="16"/>
    </row>
    <row r="1580" spans="1:4" ht="17.25" customHeight="1">
      <c r="A1580" s="14"/>
      <c r="C1580" s="16"/>
      <c r="D1580" s="16"/>
    </row>
    <row r="1581" spans="1:4" ht="17.25" customHeight="1">
      <c r="A1581" s="14"/>
      <c r="C1581" s="16"/>
      <c r="D1581" s="16"/>
    </row>
    <row r="1582" spans="1:4" ht="17.25" customHeight="1">
      <c r="A1582" s="14"/>
      <c r="C1582" s="16"/>
      <c r="D1582" s="16"/>
    </row>
    <row r="1583" spans="1:4" ht="17.25" customHeight="1">
      <c r="A1583" s="14"/>
      <c r="C1583" s="16"/>
      <c r="D1583" s="16"/>
    </row>
    <row r="1584" spans="1:4" ht="17.25" customHeight="1">
      <c r="A1584" s="14"/>
      <c r="C1584" s="16"/>
      <c r="D1584" s="16"/>
    </row>
    <row r="1585" spans="1:4" ht="17.25" customHeight="1">
      <c r="A1585" s="14"/>
      <c r="C1585" s="16"/>
      <c r="D1585" s="16"/>
    </row>
    <row r="1586" spans="1:4" ht="17.25" customHeight="1">
      <c r="A1586" s="14"/>
      <c r="C1586" s="16"/>
      <c r="D1586" s="16"/>
    </row>
    <row r="1587" spans="1:4" ht="17.25" customHeight="1">
      <c r="A1587" s="14"/>
      <c r="C1587" s="16"/>
      <c r="D1587" s="16"/>
    </row>
    <row r="1588" spans="1:4" ht="17.25" customHeight="1">
      <c r="A1588" s="14"/>
      <c r="C1588" s="16"/>
      <c r="D1588" s="16"/>
    </row>
    <row r="1589" spans="1:4" ht="17.25" customHeight="1">
      <c r="A1589" s="14"/>
      <c r="C1589" s="16"/>
      <c r="D1589" s="16"/>
    </row>
    <row r="1590" spans="1:4" ht="17.25" customHeight="1">
      <c r="A1590" s="14"/>
      <c r="C1590" s="16"/>
      <c r="D1590" s="16"/>
    </row>
    <row r="1591" spans="1:4" ht="17.25" customHeight="1">
      <c r="A1591" s="14"/>
      <c r="C1591" s="16"/>
      <c r="D1591" s="16"/>
    </row>
    <row r="1592" spans="1:4" ht="17.25" customHeight="1">
      <c r="A1592" s="14"/>
      <c r="C1592" s="16"/>
      <c r="D1592" s="16"/>
    </row>
    <row r="1593" spans="1:4" ht="17.25" customHeight="1">
      <c r="A1593" s="14"/>
      <c r="C1593" s="16"/>
      <c r="D1593" s="16"/>
    </row>
    <row r="1594" spans="1:4" ht="17.25" customHeight="1">
      <c r="A1594" s="14"/>
      <c r="C1594" s="16"/>
      <c r="D1594" s="16"/>
    </row>
    <row r="1595" spans="1:4" ht="17.25" customHeight="1">
      <c r="A1595" s="14"/>
      <c r="C1595" s="16"/>
      <c r="D1595" s="16"/>
    </row>
    <row r="1596" spans="1:4" ht="17.25" customHeight="1">
      <c r="A1596" s="14"/>
      <c r="C1596" s="16"/>
      <c r="D1596" s="16"/>
    </row>
    <row r="1597" spans="1:4" ht="17.25" customHeight="1">
      <c r="A1597" s="14"/>
      <c r="C1597" s="16"/>
      <c r="D1597" s="16"/>
    </row>
    <row r="1598" spans="1:4" ht="17.25" customHeight="1">
      <c r="A1598" s="14"/>
      <c r="C1598" s="16"/>
      <c r="D1598" s="16"/>
    </row>
    <row r="1599" spans="1:4" ht="17.25" customHeight="1">
      <c r="A1599" s="14"/>
      <c r="C1599" s="16"/>
      <c r="D1599" s="16"/>
    </row>
    <row r="1600" spans="1:4" ht="17.25" customHeight="1">
      <c r="A1600" s="14"/>
      <c r="C1600" s="16"/>
      <c r="D1600" s="16"/>
    </row>
    <row r="1601" spans="1:4" ht="17.25" customHeight="1">
      <c r="A1601" s="14"/>
      <c r="C1601" s="16"/>
      <c r="D1601" s="16"/>
    </row>
    <row r="1602" spans="1:4" ht="17.25" customHeight="1">
      <c r="A1602" s="14"/>
      <c r="C1602" s="16"/>
      <c r="D1602" s="16"/>
    </row>
    <row r="1603" spans="1:4" ht="17.25" customHeight="1">
      <c r="A1603" s="14"/>
      <c r="C1603" s="16"/>
      <c r="D1603" s="16"/>
    </row>
    <row r="1604" spans="1:4" ht="17.25" customHeight="1">
      <c r="A1604" s="14"/>
      <c r="C1604" s="16"/>
      <c r="D1604" s="16"/>
    </row>
    <row r="1605" spans="1:4" ht="17.25" customHeight="1">
      <c r="A1605" s="14"/>
      <c r="C1605" s="16"/>
      <c r="D1605" s="16"/>
    </row>
    <row r="1606" spans="1:4" ht="17.25" customHeight="1">
      <c r="A1606" s="14"/>
      <c r="C1606" s="16"/>
      <c r="D1606" s="16"/>
    </row>
    <row r="1607" spans="1:4" ht="17.25" customHeight="1">
      <c r="A1607" s="14"/>
      <c r="C1607" s="16"/>
      <c r="D1607" s="16"/>
    </row>
    <row r="1608" spans="1:4" ht="17.25" customHeight="1">
      <c r="A1608" s="14"/>
      <c r="C1608" s="16"/>
      <c r="D1608" s="16"/>
    </row>
    <row r="1609" spans="1:4" ht="17.25" customHeight="1">
      <c r="A1609" s="14"/>
      <c r="C1609" s="16"/>
      <c r="D1609" s="16"/>
    </row>
    <row r="1610" spans="1:4" ht="17.25" customHeight="1">
      <c r="A1610" s="14"/>
      <c r="C1610" s="16"/>
      <c r="D1610" s="16"/>
    </row>
    <row r="1611" spans="1:4" ht="17.25" customHeight="1">
      <c r="A1611" s="14"/>
      <c r="C1611" s="16"/>
      <c r="D1611" s="16"/>
    </row>
    <row r="1612" spans="1:4" ht="17.25" customHeight="1">
      <c r="A1612" s="14"/>
      <c r="C1612" s="16"/>
      <c r="D1612" s="16"/>
    </row>
    <row r="1613" spans="1:4" ht="17.25" customHeight="1">
      <c r="A1613" s="14"/>
      <c r="C1613" s="16"/>
      <c r="D1613" s="16"/>
    </row>
    <row r="1614" spans="1:4" ht="17.25" customHeight="1">
      <c r="A1614" s="14"/>
      <c r="C1614" s="16"/>
      <c r="D1614" s="16"/>
    </row>
    <row r="1615" spans="1:4" ht="17.25" customHeight="1">
      <c r="A1615" s="14"/>
      <c r="C1615" s="16"/>
      <c r="D1615" s="16"/>
    </row>
    <row r="1616" spans="1:4" ht="17.25" customHeight="1">
      <c r="A1616" s="14"/>
      <c r="C1616" s="16"/>
      <c r="D1616" s="16"/>
    </row>
    <row r="1617" spans="1:4" ht="17.25" customHeight="1">
      <c r="A1617" s="14"/>
      <c r="C1617" s="16"/>
      <c r="D1617" s="16"/>
    </row>
    <row r="1618" spans="1:4" ht="17.25" customHeight="1">
      <c r="A1618" s="14"/>
      <c r="C1618" s="16"/>
      <c r="D1618" s="16"/>
    </row>
    <row r="1619" spans="1:4" ht="17.25" customHeight="1">
      <c r="A1619" s="14"/>
      <c r="C1619" s="16"/>
      <c r="D1619" s="16"/>
    </row>
    <row r="1620" spans="1:4" ht="17.25" customHeight="1">
      <c r="A1620" s="14"/>
      <c r="C1620" s="16"/>
      <c r="D1620" s="16"/>
    </row>
    <row r="1621" spans="1:4" ht="17.25" customHeight="1">
      <c r="A1621" s="14"/>
      <c r="C1621" s="16"/>
      <c r="D1621" s="16"/>
    </row>
    <row r="1622" spans="1:4" ht="17.25" customHeight="1">
      <c r="A1622" s="14"/>
      <c r="C1622" s="16"/>
      <c r="D1622" s="16"/>
    </row>
    <row r="1623" spans="1:4" ht="17.25" customHeight="1">
      <c r="A1623" s="14"/>
      <c r="C1623" s="16"/>
      <c r="D1623" s="16"/>
    </row>
    <row r="1624" spans="1:4" ht="17.25" customHeight="1">
      <c r="A1624" s="14"/>
      <c r="C1624" s="16"/>
      <c r="D1624" s="16"/>
    </row>
    <row r="1625" spans="1:4" ht="17.25" customHeight="1">
      <c r="A1625" s="14"/>
      <c r="C1625" s="16"/>
      <c r="D1625" s="16"/>
    </row>
    <row r="1626" spans="1:4" ht="17.25" customHeight="1">
      <c r="A1626" s="14"/>
      <c r="C1626" s="16"/>
      <c r="D1626" s="16"/>
    </row>
    <row r="1627" spans="1:4" ht="17.25" customHeight="1">
      <c r="A1627" s="14"/>
      <c r="C1627" s="16"/>
      <c r="D1627" s="16"/>
    </row>
    <row r="1628" spans="1:4" ht="17.25" customHeight="1">
      <c r="A1628" s="14"/>
      <c r="C1628" s="16"/>
      <c r="D1628" s="16"/>
    </row>
    <row r="1629" spans="1:4" ht="17.25" customHeight="1">
      <c r="A1629" s="14"/>
      <c r="C1629" s="16"/>
      <c r="D1629" s="16"/>
    </row>
    <row r="1630" spans="1:4" ht="17.25" customHeight="1">
      <c r="A1630" s="14"/>
      <c r="C1630" s="16"/>
      <c r="D1630" s="16"/>
    </row>
    <row r="1631" spans="1:4" ht="17.25" customHeight="1">
      <c r="A1631" s="14"/>
      <c r="C1631" s="16"/>
      <c r="D1631" s="16"/>
    </row>
    <row r="1632" spans="1:4" ht="17.25" customHeight="1">
      <c r="A1632" s="14"/>
      <c r="C1632" s="16"/>
      <c r="D1632" s="16"/>
    </row>
    <row r="1633" spans="1:4" ht="17.25" customHeight="1">
      <c r="A1633" s="14"/>
      <c r="C1633" s="16"/>
      <c r="D1633" s="16"/>
    </row>
    <row r="1634" spans="1:4" ht="17.25" customHeight="1">
      <c r="A1634" s="14"/>
      <c r="C1634" s="16"/>
      <c r="D1634" s="16"/>
    </row>
    <row r="1635" spans="1:4" ht="17.25" customHeight="1">
      <c r="A1635" s="14"/>
      <c r="C1635" s="16"/>
      <c r="D1635" s="16"/>
    </row>
    <row r="1636" spans="1:4" ht="17.25" customHeight="1">
      <c r="A1636" s="14"/>
      <c r="C1636" s="16"/>
      <c r="D1636" s="16"/>
    </row>
    <row r="1637" spans="1:4" ht="17.25" customHeight="1">
      <c r="A1637" s="14"/>
      <c r="C1637" s="16"/>
      <c r="D1637" s="16"/>
    </row>
    <row r="1638" spans="1:4" ht="17.25" customHeight="1">
      <c r="A1638" s="14"/>
      <c r="C1638" s="16"/>
      <c r="D1638" s="16"/>
    </row>
    <row r="1639" spans="1:4" ht="17.25" customHeight="1">
      <c r="A1639" s="14"/>
      <c r="C1639" s="16"/>
      <c r="D1639" s="16"/>
    </row>
    <row r="1640" spans="1:4" ht="17.25" customHeight="1">
      <c r="A1640" s="14"/>
      <c r="C1640" s="16"/>
      <c r="D1640" s="16"/>
    </row>
    <row r="1641" spans="1:4" ht="17.25" customHeight="1">
      <c r="A1641" s="14"/>
      <c r="C1641" s="16"/>
      <c r="D1641" s="16"/>
    </row>
    <row r="1642" spans="1:4" ht="17.25" customHeight="1">
      <c r="A1642" s="14"/>
      <c r="C1642" s="16"/>
      <c r="D1642" s="16"/>
    </row>
    <row r="1643" spans="1:4" ht="17.25" customHeight="1">
      <c r="A1643" s="14"/>
      <c r="C1643" s="16"/>
      <c r="D1643" s="16"/>
    </row>
    <row r="1644" spans="1:4" ht="17.25" customHeight="1">
      <c r="A1644" s="14"/>
      <c r="C1644" s="16"/>
      <c r="D1644" s="16"/>
    </row>
    <row r="1645" spans="1:4" ht="17.25" customHeight="1">
      <c r="A1645" s="14"/>
      <c r="C1645" s="16"/>
      <c r="D1645" s="16"/>
    </row>
    <row r="1646" spans="1:4" ht="17.25" customHeight="1">
      <c r="A1646" s="14"/>
      <c r="C1646" s="16"/>
      <c r="D1646" s="16"/>
    </row>
    <row r="1647" spans="1:4" ht="17.25" customHeight="1">
      <c r="A1647" s="14"/>
      <c r="C1647" s="16"/>
      <c r="D1647" s="16"/>
    </row>
    <row r="1648" spans="1:4" ht="17.25" customHeight="1">
      <c r="A1648" s="14"/>
      <c r="C1648" s="16"/>
      <c r="D1648" s="16"/>
    </row>
    <row r="1649" spans="1:4" ht="17.25" customHeight="1">
      <c r="A1649" s="14"/>
      <c r="C1649" s="16"/>
      <c r="D1649" s="16"/>
    </row>
    <row r="1650" spans="1:4" ht="17.25" customHeight="1">
      <c r="A1650" s="14"/>
      <c r="C1650" s="16"/>
      <c r="D1650" s="16"/>
    </row>
    <row r="1651" spans="1:4" ht="17.25" customHeight="1">
      <c r="A1651" s="14"/>
      <c r="C1651" s="16"/>
      <c r="D1651" s="16"/>
    </row>
    <row r="1652" spans="1:4" ht="17.25" customHeight="1">
      <c r="A1652" s="14"/>
      <c r="C1652" s="16"/>
      <c r="D1652" s="16"/>
    </row>
    <row r="1653" spans="1:4" ht="17.25" customHeight="1">
      <c r="A1653" s="14"/>
      <c r="C1653" s="16"/>
      <c r="D1653" s="16"/>
    </row>
    <row r="1654" spans="1:4" ht="17.25" customHeight="1">
      <c r="A1654" s="14"/>
      <c r="C1654" s="16"/>
      <c r="D1654" s="16"/>
    </row>
    <row r="1655" spans="1:4" ht="17.25" customHeight="1">
      <c r="A1655" s="14"/>
      <c r="C1655" s="16"/>
      <c r="D1655" s="16"/>
    </row>
    <row r="1656" spans="1:4" ht="17.25" customHeight="1">
      <c r="A1656" s="14"/>
      <c r="C1656" s="16"/>
      <c r="D1656" s="16"/>
    </row>
    <row r="1657" spans="1:4" ht="17.25" customHeight="1">
      <c r="A1657" s="14"/>
      <c r="C1657" s="16"/>
      <c r="D1657" s="16"/>
    </row>
    <row r="1658" spans="1:4" ht="17.25" customHeight="1">
      <c r="A1658" s="14"/>
      <c r="C1658" s="16"/>
      <c r="D1658" s="16"/>
    </row>
    <row r="1659" spans="1:4" ht="17.25" customHeight="1">
      <c r="A1659" s="14"/>
      <c r="C1659" s="16"/>
      <c r="D1659" s="16"/>
    </row>
    <row r="1660" spans="1:4" ht="17.25" customHeight="1">
      <c r="A1660" s="14"/>
      <c r="C1660" s="16"/>
      <c r="D1660" s="16"/>
    </row>
    <row r="1661" spans="1:4" ht="17.25" customHeight="1">
      <c r="A1661" s="14"/>
      <c r="C1661" s="16"/>
      <c r="D1661" s="16"/>
    </row>
    <row r="1662" spans="1:4" ht="17.25" customHeight="1">
      <c r="A1662" s="14"/>
      <c r="C1662" s="16"/>
      <c r="D1662" s="16"/>
    </row>
    <row r="1663" spans="1:4" ht="17.25" customHeight="1">
      <c r="A1663" s="14"/>
      <c r="C1663" s="16"/>
      <c r="D1663" s="16"/>
    </row>
    <row r="1664" spans="1:4" ht="17.25" customHeight="1">
      <c r="A1664" s="14"/>
      <c r="C1664" s="16"/>
      <c r="D1664" s="16"/>
    </row>
    <row r="1665" spans="1:4" ht="17.25" customHeight="1">
      <c r="A1665" s="14"/>
      <c r="C1665" s="16"/>
      <c r="D1665" s="16"/>
    </row>
    <row r="1666" spans="1:4" ht="17.25" customHeight="1">
      <c r="A1666" s="14"/>
      <c r="C1666" s="16"/>
      <c r="D1666" s="16"/>
    </row>
    <row r="1667" spans="1:4" ht="17.25" customHeight="1">
      <c r="A1667" s="14"/>
      <c r="C1667" s="16"/>
      <c r="D1667" s="16"/>
    </row>
    <row r="1668" spans="1:4" ht="17.25" customHeight="1">
      <c r="A1668" s="14"/>
      <c r="C1668" s="16"/>
      <c r="D1668" s="16"/>
    </row>
    <row r="1669" spans="1:4" ht="17.25" customHeight="1">
      <c r="A1669" s="14"/>
      <c r="C1669" s="16"/>
      <c r="D1669" s="16"/>
    </row>
    <row r="1670" spans="1:4" ht="17.25" customHeight="1">
      <c r="A1670" s="14"/>
      <c r="C1670" s="16"/>
      <c r="D1670" s="16"/>
    </row>
    <row r="1671" spans="1:4" ht="17.25" customHeight="1">
      <c r="A1671" s="14"/>
      <c r="C1671" s="16"/>
      <c r="D1671" s="16"/>
    </row>
    <row r="1672" spans="1:4" ht="17.25" customHeight="1">
      <c r="A1672" s="14"/>
      <c r="C1672" s="16"/>
      <c r="D1672" s="16"/>
    </row>
    <row r="1673" spans="1:4" ht="17.25" customHeight="1">
      <c r="A1673" s="14"/>
      <c r="C1673" s="16"/>
      <c r="D1673" s="16"/>
    </row>
    <row r="1674" spans="1:4" ht="17.25" customHeight="1">
      <c r="A1674" s="14"/>
      <c r="C1674" s="16"/>
      <c r="D1674" s="16"/>
    </row>
    <row r="1675" spans="1:4" ht="17.25" customHeight="1">
      <c r="A1675" s="14"/>
      <c r="C1675" s="16"/>
      <c r="D1675" s="16"/>
    </row>
    <row r="1676" spans="1:4" ht="17.25" customHeight="1">
      <c r="A1676" s="14"/>
      <c r="C1676" s="16"/>
      <c r="D1676" s="16"/>
    </row>
    <row r="1677" spans="1:4" ht="17.25" customHeight="1">
      <c r="A1677" s="14"/>
      <c r="C1677" s="16"/>
      <c r="D1677" s="16"/>
    </row>
    <row r="1678" spans="1:4" ht="17.25" customHeight="1">
      <c r="A1678" s="14"/>
      <c r="C1678" s="16"/>
      <c r="D1678" s="16"/>
    </row>
    <row r="1679" spans="1:4" ht="17.25" customHeight="1">
      <c r="A1679" s="14"/>
      <c r="C1679" s="16"/>
      <c r="D1679" s="16"/>
    </row>
    <row r="1680" spans="1:4" ht="17.25" customHeight="1">
      <c r="A1680" s="14"/>
      <c r="C1680" s="16"/>
      <c r="D1680" s="16"/>
    </row>
    <row r="1681" spans="1:4" ht="17.25" customHeight="1">
      <c r="A1681" s="14"/>
      <c r="C1681" s="16"/>
      <c r="D1681" s="16"/>
    </row>
    <row r="1682" spans="1:4" ht="17.25" customHeight="1">
      <c r="A1682" s="14"/>
      <c r="C1682" s="16"/>
      <c r="D1682" s="16"/>
    </row>
    <row r="1683" spans="1:4" ht="17.25" customHeight="1">
      <c r="A1683" s="14"/>
      <c r="C1683" s="16"/>
      <c r="D1683" s="16"/>
    </row>
    <row r="1684" spans="1:4" ht="17.25" customHeight="1">
      <c r="A1684" s="14"/>
      <c r="C1684" s="16"/>
      <c r="D1684" s="16"/>
    </row>
    <row r="1685" spans="1:4" ht="17.25" customHeight="1">
      <c r="A1685" s="14"/>
      <c r="C1685" s="16"/>
      <c r="D1685" s="16"/>
    </row>
    <row r="1686" spans="1:4" ht="17.25" customHeight="1">
      <c r="A1686" s="14"/>
      <c r="C1686" s="16"/>
      <c r="D1686" s="16"/>
    </row>
    <row r="1687" spans="1:4" ht="17.25" customHeight="1">
      <c r="A1687" s="14"/>
      <c r="C1687" s="16"/>
      <c r="D1687" s="16"/>
    </row>
    <row r="1688" spans="1:4" ht="17.25" customHeight="1">
      <c r="A1688" s="14"/>
      <c r="C1688" s="16"/>
      <c r="D1688" s="16"/>
    </row>
    <row r="1689" spans="1:4" ht="17.25" customHeight="1">
      <c r="A1689" s="14"/>
      <c r="C1689" s="16"/>
      <c r="D1689" s="16"/>
    </row>
    <row r="1690" spans="1:4" ht="17.25" customHeight="1">
      <c r="A1690" s="14"/>
      <c r="C1690" s="16"/>
      <c r="D1690" s="16"/>
    </row>
    <row r="1691" spans="1:4" ht="17.25" customHeight="1">
      <c r="A1691" s="14"/>
      <c r="C1691" s="16"/>
      <c r="D1691" s="16"/>
    </row>
    <row r="1692" spans="1:4" ht="17.25" customHeight="1">
      <c r="A1692" s="14"/>
      <c r="C1692" s="16"/>
      <c r="D1692" s="16"/>
    </row>
    <row r="1693" spans="1:4" ht="17.25" customHeight="1">
      <c r="A1693" s="14"/>
      <c r="C1693" s="16"/>
      <c r="D1693" s="16"/>
    </row>
    <row r="1694" spans="1:4" ht="17.25" customHeight="1">
      <c r="A1694" s="14"/>
      <c r="C1694" s="16"/>
      <c r="D1694" s="16"/>
    </row>
    <row r="1695" spans="1:4" ht="17.25" customHeight="1">
      <c r="A1695" s="14"/>
      <c r="C1695" s="16"/>
      <c r="D1695" s="16"/>
    </row>
    <row r="1696" spans="1:4" ht="17.25" customHeight="1">
      <c r="A1696" s="14"/>
      <c r="C1696" s="16"/>
      <c r="D1696" s="16"/>
    </row>
    <row r="1697" spans="1:4" ht="17.25" customHeight="1">
      <c r="A1697" s="14"/>
      <c r="C1697" s="16"/>
      <c r="D1697" s="16"/>
    </row>
    <row r="1698" spans="1:4" ht="17.25" customHeight="1">
      <c r="A1698" s="14"/>
      <c r="C1698" s="16"/>
      <c r="D1698" s="16"/>
    </row>
    <row r="1699" spans="1:4" ht="17.25" customHeight="1">
      <c r="A1699" s="14"/>
      <c r="C1699" s="16"/>
      <c r="D1699" s="16"/>
    </row>
    <row r="1700" spans="1:4" ht="17.25" customHeight="1">
      <c r="A1700" s="14"/>
      <c r="C1700" s="16"/>
      <c r="D1700" s="16"/>
    </row>
    <row r="1701" spans="1:4" ht="17.25" customHeight="1">
      <c r="A1701" s="14"/>
      <c r="C1701" s="16"/>
      <c r="D1701" s="16"/>
    </row>
    <row r="1702" spans="1:4" ht="17.25" customHeight="1">
      <c r="A1702" s="14"/>
      <c r="C1702" s="16"/>
      <c r="D1702" s="16"/>
    </row>
    <row r="1703" spans="1:4" ht="17.25" customHeight="1">
      <c r="A1703" s="14"/>
      <c r="C1703" s="16"/>
      <c r="D1703" s="16"/>
    </row>
    <row r="1704" spans="1:4" ht="17.25" customHeight="1">
      <c r="A1704" s="14"/>
      <c r="C1704" s="16"/>
      <c r="D1704" s="16"/>
    </row>
    <row r="1705" spans="1:4" ht="17.25" customHeight="1">
      <c r="A1705" s="14"/>
      <c r="C1705" s="16"/>
      <c r="D1705" s="16"/>
    </row>
    <row r="1706" spans="1:4" ht="17.25" customHeight="1">
      <c r="A1706" s="14"/>
      <c r="C1706" s="16"/>
      <c r="D1706" s="16"/>
    </row>
    <row r="1707" spans="1:4" ht="17.25" customHeight="1">
      <c r="A1707" s="14"/>
      <c r="C1707" s="16"/>
      <c r="D1707" s="16"/>
    </row>
    <row r="1708" spans="1:4" ht="17.25" customHeight="1">
      <c r="A1708" s="14"/>
      <c r="C1708" s="16"/>
      <c r="D1708" s="16"/>
    </row>
    <row r="1709" spans="1:4" ht="17.25" customHeight="1">
      <c r="A1709" s="14"/>
      <c r="C1709" s="16"/>
      <c r="D1709" s="16"/>
    </row>
    <row r="1710" spans="1:4" ht="17.25" customHeight="1">
      <c r="A1710" s="14"/>
      <c r="C1710" s="16"/>
      <c r="D1710" s="16"/>
    </row>
    <row r="1711" spans="1:4" ht="17.25" customHeight="1">
      <c r="A1711" s="14"/>
      <c r="C1711" s="16"/>
      <c r="D1711" s="16"/>
    </row>
    <row r="1712" spans="1:4" ht="17.25" customHeight="1">
      <c r="A1712" s="14"/>
      <c r="C1712" s="16"/>
      <c r="D1712" s="16"/>
    </row>
    <row r="1713" spans="1:4" ht="17.25" customHeight="1">
      <c r="A1713" s="14"/>
      <c r="C1713" s="16"/>
      <c r="D1713" s="16"/>
    </row>
    <row r="1714" spans="1:4" ht="17.25" customHeight="1">
      <c r="A1714" s="14"/>
      <c r="C1714" s="16"/>
      <c r="D1714" s="16"/>
    </row>
    <row r="1715" spans="1:4" ht="17.25" customHeight="1">
      <c r="A1715" s="14"/>
      <c r="C1715" s="16"/>
      <c r="D1715" s="16"/>
    </row>
    <row r="1716" spans="1:4" ht="17.25" customHeight="1">
      <c r="A1716" s="14"/>
      <c r="C1716" s="16"/>
      <c r="D1716" s="16"/>
    </row>
    <row r="1717" spans="1:4" ht="17.25" customHeight="1">
      <c r="A1717" s="14"/>
      <c r="C1717" s="16"/>
      <c r="D1717" s="16"/>
    </row>
    <row r="1718" spans="1:4" ht="17.25" customHeight="1">
      <c r="A1718" s="14"/>
      <c r="C1718" s="16"/>
      <c r="D1718" s="16"/>
    </row>
    <row r="1719" spans="1:4" ht="17.25" customHeight="1">
      <c r="A1719" s="14"/>
      <c r="C1719" s="16"/>
      <c r="D1719" s="16"/>
    </row>
    <row r="1720" spans="1:4" ht="17.25" customHeight="1">
      <c r="A1720" s="14"/>
      <c r="C1720" s="16"/>
      <c r="D1720" s="16"/>
    </row>
    <row r="1721" spans="1:4" ht="17.25" customHeight="1">
      <c r="A1721" s="14"/>
      <c r="C1721" s="16"/>
      <c r="D1721" s="16"/>
    </row>
    <row r="1722" spans="1:4" ht="17.25" customHeight="1">
      <c r="A1722" s="14"/>
      <c r="C1722" s="16"/>
      <c r="D1722" s="16"/>
    </row>
    <row r="1723" spans="1:4" ht="17.25" customHeight="1">
      <c r="A1723" s="14"/>
      <c r="C1723" s="16"/>
      <c r="D1723" s="16"/>
    </row>
    <row r="1724" spans="1:4" ht="17.25" customHeight="1">
      <c r="A1724" s="14"/>
      <c r="C1724" s="16"/>
      <c r="D1724" s="16"/>
    </row>
    <row r="1725" spans="1:4" ht="17.25" customHeight="1">
      <c r="A1725" s="14"/>
      <c r="C1725" s="16"/>
      <c r="D1725" s="16"/>
    </row>
    <row r="1726" spans="1:4" ht="17.25" customHeight="1">
      <c r="A1726" s="14"/>
      <c r="C1726" s="16"/>
      <c r="D1726" s="16"/>
    </row>
    <row r="1727" spans="1:4" ht="17.25" customHeight="1">
      <c r="A1727" s="14"/>
      <c r="C1727" s="16"/>
      <c r="D1727" s="16"/>
    </row>
    <row r="1728" spans="1:4" ht="17.25" customHeight="1">
      <c r="A1728" s="14"/>
      <c r="C1728" s="16"/>
      <c r="D1728" s="16"/>
    </row>
    <row r="1729" spans="1:4" ht="17.25" customHeight="1">
      <c r="A1729" s="14"/>
      <c r="C1729" s="16"/>
      <c r="D1729" s="16"/>
    </row>
    <row r="1730" spans="1:4" ht="17.25" customHeight="1">
      <c r="A1730" s="14"/>
      <c r="C1730" s="16"/>
      <c r="D1730" s="16"/>
    </row>
    <row r="1731" spans="1:4" ht="17.25" customHeight="1">
      <c r="A1731" s="14"/>
      <c r="C1731" s="16"/>
      <c r="D1731" s="16"/>
    </row>
    <row r="1732" spans="1:4" ht="17.25" customHeight="1">
      <c r="A1732" s="14"/>
      <c r="C1732" s="16"/>
      <c r="D1732" s="16"/>
    </row>
    <row r="1733" spans="1:4" ht="17.25" customHeight="1">
      <c r="A1733" s="14"/>
      <c r="C1733" s="16"/>
      <c r="D1733" s="16"/>
    </row>
    <row r="1734" spans="1:4" ht="17.25" customHeight="1">
      <c r="A1734" s="14"/>
      <c r="C1734" s="16"/>
      <c r="D1734" s="16"/>
    </row>
    <row r="1735" spans="1:4" ht="17.25" customHeight="1">
      <c r="A1735" s="14"/>
      <c r="C1735" s="16"/>
      <c r="D1735" s="16"/>
    </row>
    <row r="1736" spans="1:4" ht="17.25" customHeight="1">
      <c r="A1736" s="14"/>
      <c r="C1736" s="16"/>
      <c r="D1736" s="16"/>
    </row>
    <row r="1737" spans="1:4" ht="17.25" customHeight="1">
      <c r="A1737" s="14"/>
      <c r="C1737" s="16"/>
      <c r="D1737" s="16"/>
    </row>
    <row r="1738" spans="1:4" ht="17.25" customHeight="1">
      <c r="A1738" s="14"/>
      <c r="C1738" s="16"/>
      <c r="D1738" s="16"/>
    </row>
    <row r="1739" spans="1:4" ht="17.25" customHeight="1">
      <c r="A1739" s="14"/>
      <c r="C1739" s="16"/>
      <c r="D1739" s="16"/>
    </row>
    <row r="1740" spans="1:4" ht="17.25" customHeight="1">
      <c r="A1740" s="14"/>
      <c r="C1740" s="16"/>
      <c r="D1740" s="16"/>
    </row>
    <row r="1741" spans="1:4" ht="17.25" customHeight="1">
      <c r="A1741" s="14"/>
      <c r="C1741" s="16"/>
      <c r="D1741" s="16"/>
    </row>
    <row r="1742" spans="1:4" ht="17.25" customHeight="1">
      <c r="A1742" s="14"/>
      <c r="C1742" s="16"/>
      <c r="D1742" s="16"/>
    </row>
    <row r="1743" spans="1:4" ht="17.25" customHeight="1">
      <c r="A1743" s="14"/>
      <c r="C1743" s="16"/>
      <c r="D1743" s="16"/>
    </row>
    <row r="1744" spans="1:4" ht="17.25" customHeight="1">
      <c r="A1744" s="14"/>
      <c r="C1744" s="16"/>
      <c r="D1744" s="16"/>
    </row>
    <row r="1745" spans="1:4" ht="17.25" customHeight="1">
      <c r="A1745" s="14"/>
      <c r="C1745" s="16"/>
      <c r="D1745" s="16"/>
    </row>
    <row r="1746" spans="1:4" ht="17.25" customHeight="1">
      <c r="A1746" s="14"/>
      <c r="C1746" s="16"/>
      <c r="D1746" s="16"/>
    </row>
    <row r="1747" spans="1:4" ht="17.25" customHeight="1">
      <c r="A1747" s="14"/>
      <c r="C1747" s="16"/>
      <c r="D1747" s="16"/>
    </row>
    <row r="1748" spans="1:4" ht="17.25" customHeight="1">
      <c r="A1748" s="14"/>
      <c r="C1748" s="16"/>
      <c r="D1748" s="16"/>
    </row>
    <row r="1749" spans="1:4" ht="17.25" customHeight="1">
      <c r="A1749" s="14"/>
      <c r="C1749" s="16"/>
      <c r="D1749" s="16"/>
    </row>
    <row r="1750" spans="1:4" ht="17.25" customHeight="1">
      <c r="A1750" s="14"/>
      <c r="C1750" s="16"/>
      <c r="D1750" s="16"/>
    </row>
    <row r="1751" spans="1:4" ht="17.25" customHeight="1">
      <c r="A1751" s="14"/>
      <c r="C1751" s="16"/>
      <c r="D1751" s="16"/>
    </row>
    <row r="1752" spans="1:4" ht="17.25" customHeight="1">
      <c r="A1752" s="14"/>
      <c r="C1752" s="16"/>
      <c r="D1752" s="16"/>
    </row>
    <row r="1753" spans="1:4" ht="17.25" customHeight="1">
      <c r="A1753" s="14"/>
      <c r="C1753" s="16"/>
      <c r="D1753" s="16"/>
    </row>
    <row r="1754" spans="1:4" ht="17.25" customHeight="1">
      <c r="A1754" s="14"/>
      <c r="C1754" s="16"/>
      <c r="D1754" s="16"/>
    </row>
    <row r="1755" spans="1:4" ht="17.25" customHeight="1">
      <c r="A1755" s="14"/>
      <c r="C1755" s="16"/>
      <c r="D1755" s="16"/>
    </row>
    <row r="1756" spans="1:4" ht="17.25" customHeight="1">
      <c r="A1756" s="14"/>
      <c r="C1756" s="16"/>
      <c r="D1756" s="16"/>
    </row>
    <row r="1757" spans="1:4" ht="17.25" customHeight="1">
      <c r="A1757" s="14"/>
      <c r="C1757" s="16"/>
      <c r="D1757" s="16"/>
    </row>
    <row r="1758" spans="1:4" ht="17.25" customHeight="1">
      <c r="A1758" s="14"/>
      <c r="C1758" s="16"/>
      <c r="D1758" s="16"/>
    </row>
    <row r="1759" spans="1:4" ht="17.25" customHeight="1">
      <c r="A1759" s="14"/>
      <c r="C1759" s="16"/>
      <c r="D1759" s="16"/>
    </row>
    <row r="1760" spans="1:4" ht="17.25" customHeight="1">
      <c r="A1760" s="14"/>
      <c r="C1760" s="16"/>
      <c r="D1760" s="16"/>
    </row>
    <row r="1761" spans="1:4" ht="17.25" customHeight="1">
      <c r="A1761" s="14"/>
      <c r="C1761" s="16"/>
      <c r="D1761" s="16"/>
    </row>
    <row r="1762" spans="1:4" ht="17.25" customHeight="1">
      <c r="A1762" s="14"/>
      <c r="C1762" s="16"/>
      <c r="D1762" s="16"/>
    </row>
    <row r="1763" spans="1:4" ht="17.25" customHeight="1">
      <c r="A1763" s="14"/>
      <c r="C1763" s="16"/>
      <c r="D1763" s="16"/>
    </row>
    <row r="1764" spans="1:4" ht="17.25" customHeight="1">
      <c r="A1764" s="14"/>
      <c r="C1764" s="16"/>
      <c r="D1764" s="16"/>
    </row>
    <row r="1765" spans="1:4" ht="17.25" customHeight="1">
      <c r="A1765" s="14"/>
      <c r="C1765" s="16"/>
      <c r="D1765" s="16"/>
    </row>
    <row r="1766" spans="1:4" ht="17.25" customHeight="1">
      <c r="A1766" s="14"/>
      <c r="C1766" s="16"/>
      <c r="D1766" s="16"/>
    </row>
    <row r="1767" spans="1:4" ht="17.25" customHeight="1">
      <c r="A1767" s="14"/>
      <c r="C1767" s="16"/>
      <c r="D1767" s="16"/>
    </row>
    <row r="1768" spans="1:4" ht="17.25" customHeight="1">
      <c r="A1768" s="14"/>
      <c r="C1768" s="16"/>
      <c r="D1768" s="16"/>
    </row>
    <row r="1769" spans="1:4" ht="17.25" customHeight="1">
      <c r="A1769" s="14"/>
      <c r="C1769" s="16"/>
      <c r="D1769" s="16"/>
    </row>
    <row r="1770" spans="1:4" ht="17.25" customHeight="1">
      <c r="A1770" s="14"/>
      <c r="C1770" s="16"/>
      <c r="D1770" s="16"/>
    </row>
    <row r="1771" spans="1:4" ht="17.25" customHeight="1">
      <c r="A1771" s="14"/>
      <c r="C1771" s="16"/>
      <c r="D1771" s="16"/>
    </row>
    <row r="1772" spans="1:4" ht="17.25" customHeight="1">
      <c r="A1772" s="14"/>
      <c r="C1772" s="16"/>
      <c r="D1772" s="16"/>
    </row>
    <row r="1773" spans="1:4" ht="17.25" customHeight="1">
      <c r="A1773" s="14"/>
      <c r="C1773" s="16"/>
      <c r="D1773" s="16"/>
    </row>
    <row r="1774" spans="1:4" ht="17.25" customHeight="1">
      <c r="A1774" s="14"/>
      <c r="C1774" s="16"/>
      <c r="D1774" s="16"/>
    </row>
    <row r="1775" spans="1:4" ht="17.25" customHeight="1">
      <c r="A1775" s="14"/>
      <c r="C1775" s="16"/>
      <c r="D1775" s="16"/>
    </row>
    <row r="1776" spans="1:4" ht="17.25" customHeight="1">
      <c r="A1776" s="14"/>
      <c r="C1776" s="16"/>
      <c r="D1776" s="16"/>
    </row>
    <row r="1777" spans="1:4" ht="17.25" customHeight="1">
      <c r="A1777" s="14"/>
      <c r="C1777" s="16"/>
      <c r="D1777" s="16"/>
    </row>
    <row r="1778" spans="1:4" ht="17.25" customHeight="1">
      <c r="A1778" s="14"/>
      <c r="C1778" s="16"/>
      <c r="D1778" s="16"/>
    </row>
    <row r="1779" spans="1:4" ht="17.25" customHeight="1">
      <c r="A1779" s="14"/>
      <c r="C1779" s="16"/>
      <c r="D1779" s="16"/>
    </row>
    <row r="1780" spans="1:4" ht="17.25" customHeight="1">
      <c r="A1780" s="14"/>
      <c r="C1780" s="16"/>
      <c r="D1780" s="16"/>
    </row>
    <row r="1781" spans="1:4" ht="17.25" customHeight="1">
      <c r="A1781" s="14"/>
      <c r="C1781" s="16"/>
      <c r="D1781" s="16"/>
    </row>
    <row r="1782" spans="1:4" ht="17.25" customHeight="1">
      <c r="A1782" s="14"/>
      <c r="C1782" s="16"/>
      <c r="D1782" s="16"/>
    </row>
    <row r="1783" spans="1:4" ht="17.25" customHeight="1">
      <c r="A1783" s="14"/>
      <c r="C1783" s="16"/>
      <c r="D1783" s="16"/>
    </row>
    <row r="1784" spans="1:4" ht="17.25" customHeight="1">
      <c r="A1784" s="14"/>
      <c r="C1784" s="16"/>
      <c r="D1784" s="16"/>
    </row>
    <row r="1785" spans="1:4" ht="17.25" customHeight="1">
      <c r="A1785" s="14"/>
      <c r="C1785" s="16"/>
      <c r="D1785" s="16"/>
    </row>
    <row r="1786" spans="1:4" ht="17.25" customHeight="1">
      <c r="A1786" s="14"/>
      <c r="C1786" s="16"/>
      <c r="D1786" s="16"/>
    </row>
    <row r="1787" spans="1:4" ht="17.25" customHeight="1">
      <c r="A1787" s="14"/>
      <c r="C1787" s="16"/>
      <c r="D1787" s="16"/>
    </row>
    <row r="1788" spans="1:4" ht="17.25" customHeight="1">
      <c r="A1788" s="14"/>
      <c r="C1788" s="16"/>
      <c r="D1788" s="16"/>
    </row>
    <row r="1789" spans="1:4" ht="17.25" customHeight="1">
      <c r="A1789" s="14"/>
      <c r="C1789" s="16"/>
      <c r="D1789" s="16"/>
    </row>
    <row r="1790" spans="1:4" ht="17.25" customHeight="1">
      <c r="A1790" s="14"/>
      <c r="C1790" s="16"/>
      <c r="D1790" s="16"/>
    </row>
    <row r="1791" spans="1:4" ht="17.25" customHeight="1">
      <c r="A1791" s="14"/>
      <c r="C1791" s="16"/>
      <c r="D1791" s="16"/>
    </row>
    <row r="1792" spans="1:4" ht="17.25" customHeight="1">
      <c r="A1792" s="14"/>
      <c r="C1792" s="16"/>
      <c r="D1792" s="16"/>
    </row>
    <row r="1793" spans="1:4" ht="17.25" customHeight="1">
      <c r="A1793" s="14"/>
      <c r="C1793" s="16"/>
      <c r="D1793" s="16"/>
    </row>
    <row r="1794" spans="1:4" ht="17.25" customHeight="1">
      <c r="A1794" s="14"/>
      <c r="C1794" s="16"/>
      <c r="D1794" s="16"/>
    </row>
    <row r="1795" spans="1:4" ht="17.25" customHeight="1">
      <c r="A1795" s="14"/>
      <c r="C1795" s="16"/>
      <c r="D1795" s="16"/>
    </row>
    <row r="1796" spans="1:4" ht="17.25" customHeight="1">
      <c r="A1796" s="14"/>
      <c r="C1796" s="16"/>
      <c r="D1796" s="16"/>
    </row>
    <row r="1797" spans="1:4" ht="17.25" customHeight="1">
      <c r="A1797" s="14"/>
      <c r="C1797" s="16"/>
      <c r="D1797" s="16"/>
    </row>
    <row r="1798" spans="1:4" ht="17.25" customHeight="1">
      <c r="A1798" s="14"/>
      <c r="C1798" s="16"/>
      <c r="D1798" s="16"/>
    </row>
    <row r="1799" spans="1:4" ht="17.25" customHeight="1">
      <c r="A1799" s="14"/>
      <c r="C1799" s="16"/>
      <c r="D1799" s="16"/>
    </row>
    <row r="1800" spans="1:4" ht="17.25" customHeight="1">
      <c r="A1800" s="14"/>
      <c r="C1800" s="16"/>
      <c r="D1800" s="16"/>
    </row>
    <row r="1801" spans="1:4" ht="17.25" customHeight="1">
      <c r="A1801" s="14"/>
      <c r="C1801" s="16"/>
      <c r="D1801" s="16"/>
    </row>
    <row r="1802" spans="1:4" ht="17.25" customHeight="1">
      <c r="A1802" s="14"/>
      <c r="C1802" s="16"/>
      <c r="D1802" s="16"/>
    </row>
    <row r="1803" spans="1:4" ht="17.25" customHeight="1">
      <c r="A1803" s="14"/>
      <c r="C1803" s="16"/>
      <c r="D1803" s="16"/>
    </row>
    <row r="1804" spans="1:4" ht="17.25" customHeight="1">
      <c r="A1804" s="14"/>
      <c r="C1804" s="16"/>
      <c r="D1804" s="16"/>
    </row>
    <row r="1805" spans="1:4" ht="17.25" customHeight="1">
      <c r="A1805" s="14"/>
      <c r="C1805" s="16"/>
      <c r="D1805" s="16"/>
    </row>
    <row r="1806" spans="1:4" ht="17.25" customHeight="1">
      <c r="A1806" s="14"/>
      <c r="C1806" s="16"/>
      <c r="D1806" s="16"/>
    </row>
    <row r="1807" spans="1:4" ht="17.25" customHeight="1">
      <c r="A1807" s="14"/>
      <c r="C1807" s="16"/>
      <c r="D1807" s="16"/>
    </row>
    <row r="1808" spans="1:4" ht="17.25" customHeight="1">
      <c r="A1808" s="14"/>
      <c r="C1808" s="16"/>
      <c r="D1808" s="16"/>
    </row>
    <row r="1809" spans="1:4" ht="17.25" customHeight="1">
      <c r="A1809" s="14"/>
      <c r="C1809" s="16"/>
      <c r="D1809" s="16"/>
    </row>
    <row r="1810" spans="1:4" ht="17.25" customHeight="1">
      <c r="A1810" s="14"/>
      <c r="C1810" s="16"/>
      <c r="D1810" s="16"/>
    </row>
    <row r="1811" spans="1:4" ht="17.25" customHeight="1">
      <c r="A1811" s="14"/>
      <c r="C1811" s="16"/>
      <c r="D1811" s="16"/>
    </row>
    <row r="1812" spans="1:4" ht="17.25" customHeight="1">
      <c r="A1812" s="14"/>
      <c r="C1812" s="16"/>
      <c r="D1812" s="16"/>
    </row>
    <row r="1813" spans="1:4" ht="17.25" customHeight="1">
      <c r="A1813" s="14"/>
      <c r="C1813" s="16"/>
      <c r="D1813" s="16"/>
    </row>
    <row r="1814" spans="1:4" ht="17.25" customHeight="1">
      <c r="A1814" s="14"/>
      <c r="C1814" s="16"/>
      <c r="D1814" s="16"/>
    </row>
    <row r="1815" spans="1:4" ht="17.25" customHeight="1">
      <c r="A1815" s="14"/>
      <c r="C1815" s="16"/>
      <c r="D1815" s="16"/>
    </row>
    <row r="1816" spans="1:4" ht="17.25" customHeight="1">
      <c r="A1816" s="14"/>
      <c r="C1816" s="16"/>
      <c r="D1816" s="16"/>
    </row>
    <row r="1817" spans="1:4" ht="17.25" customHeight="1">
      <c r="A1817" s="14"/>
      <c r="C1817" s="16"/>
      <c r="D1817" s="16"/>
    </row>
    <row r="1818" spans="1:4" ht="17.25" customHeight="1">
      <c r="A1818" s="14"/>
      <c r="C1818" s="16"/>
      <c r="D1818" s="16"/>
    </row>
    <row r="1819" spans="1:4" ht="17.25" customHeight="1">
      <c r="A1819" s="14"/>
      <c r="C1819" s="16"/>
      <c r="D1819" s="16"/>
    </row>
    <row r="1820" spans="1:4" ht="17.25" customHeight="1">
      <c r="A1820" s="14"/>
      <c r="C1820" s="16"/>
      <c r="D1820" s="16"/>
    </row>
    <row r="1821" spans="1:4" ht="17.25" customHeight="1">
      <c r="A1821" s="14"/>
      <c r="C1821" s="16"/>
      <c r="D1821" s="16"/>
    </row>
    <row r="1822" spans="1:4" ht="17.25" customHeight="1">
      <c r="A1822" s="14"/>
      <c r="C1822" s="16"/>
      <c r="D1822" s="16"/>
    </row>
    <row r="1823" spans="1:4" ht="17.25" customHeight="1">
      <c r="A1823" s="14"/>
      <c r="C1823" s="16"/>
      <c r="D1823" s="16"/>
    </row>
    <row r="1824" spans="1:4" ht="17.25" customHeight="1">
      <c r="A1824" s="14"/>
      <c r="C1824" s="16"/>
      <c r="D1824" s="16"/>
    </row>
    <row r="1825" spans="1:4" ht="17.25" customHeight="1">
      <c r="A1825" s="14"/>
      <c r="C1825" s="16"/>
      <c r="D1825" s="16"/>
    </row>
    <row r="1826" spans="1:4" ht="17.25" customHeight="1">
      <c r="A1826" s="14"/>
      <c r="C1826" s="16"/>
      <c r="D1826" s="16"/>
    </row>
    <row r="1827" spans="1:4" ht="17.25" customHeight="1">
      <c r="A1827" s="14"/>
      <c r="C1827" s="16"/>
      <c r="D1827" s="16"/>
    </row>
    <row r="1828" spans="1:4" ht="17.25" customHeight="1">
      <c r="A1828" s="14"/>
      <c r="C1828" s="16"/>
      <c r="D1828" s="16"/>
    </row>
    <row r="1829" spans="1:4" ht="17.25" customHeight="1">
      <c r="A1829" s="14"/>
      <c r="C1829" s="16"/>
      <c r="D1829" s="16"/>
    </row>
    <row r="1830" spans="1:4" ht="17.25" customHeight="1">
      <c r="A1830" s="14"/>
      <c r="C1830" s="16"/>
      <c r="D1830" s="16"/>
    </row>
    <row r="1831" spans="1:4" ht="17.25" customHeight="1">
      <c r="A1831" s="14"/>
      <c r="C1831" s="16"/>
      <c r="D1831" s="16"/>
    </row>
    <row r="1832" spans="1:4" ht="17.25" customHeight="1">
      <c r="A1832" s="14"/>
      <c r="C1832" s="16"/>
      <c r="D1832" s="16"/>
    </row>
    <row r="1833" spans="1:4" ht="17.25" customHeight="1">
      <c r="A1833" s="14"/>
      <c r="C1833" s="16"/>
      <c r="D1833" s="16"/>
    </row>
    <row r="1834" spans="1:4" ht="17.25" customHeight="1">
      <c r="A1834" s="14"/>
      <c r="C1834" s="16"/>
      <c r="D1834" s="16"/>
    </row>
    <row r="1835" spans="1:4" ht="17.25" customHeight="1">
      <c r="A1835" s="14"/>
      <c r="C1835" s="16"/>
      <c r="D1835" s="16"/>
    </row>
    <row r="1836" spans="1:4" ht="17.25" customHeight="1">
      <c r="A1836" s="14"/>
      <c r="C1836" s="16"/>
      <c r="D1836" s="16"/>
    </row>
    <row r="1837" spans="1:4" ht="17.25" customHeight="1">
      <c r="A1837" s="14"/>
      <c r="C1837" s="16"/>
      <c r="D1837" s="16"/>
    </row>
    <row r="1838" spans="1:4" ht="17.25" customHeight="1">
      <c r="A1838" s="14"/>
      <c r="C1838" s="16"/>
      <c r="D1838" s="16"/>
    </row>
    <row r="1839" spans="1:4" ht="17.25" customHeight="1">
      <c r="A1839" s="14"/>
      <c r="C1839" s="16"/>
      <c r="D1839" s="16"/>
    </row>
    <row r="1840" spans="1:4" ht="17.25" customHeight="1">
      <c r="A1840" s="14"/>
      <c r="C1840" s="16"/>
      <c r="D1840" s="16"/>
    </row>
    <row r="1841" spans="1:4" ht="17.25" customHeight="1">
      <c r="A1841" s="14"/>
      <c r="C1841" s="16"/>
      <c r="D1841" s="16"/>
    </row>
    <row r="1842" spans="1:4" ht="17.25" customHeight="1">
      <c r="A1842" s="14"/>
      <c r="C1842" s="16"/>
      <c r="D1842" s="16"/>
    </row>
    <row r="1843" spans="1:4" ht="17.25" customHeight="1">
      <c r="A1843" s="14"/>
      <c r="C1843" s="16"/>
      <c r="D1843" s="16"/>
    </row>
    <row r="1844" spans="1:4" ht="17.25" customHeight="1">
      <c r="A1844" s="14"/>
      <c r="C1844" s="16"/>
      <c r="D1844" s="16"/>
    </row>
    <row r="1845" spans="1:4" ht="17.25" customHeight="1">
      <c r="A1845" s="14"/>
      <c r="C1845" s="16"/>
      <c r="D1845" s="16"/>
    </row>
    <row r="1846" spans="1:4" ht="17.25" customHeight="1">
      <c r="A1846" s="14"/>
      <c r="C1846" s="16"/>
      <c r="D1846" s="16"/>
    </row>
    <row r="1847" spans="1:4" ht="17.25" customHeight="1">
      <c r="A1847" s="14"/>
      <c r="C1847" s="16"/>
      <c r="D1847" s="16"/>
    </row>
    <row r="1848" spans="1:4" ht="17.25" customHeight="1">
      <c r="A1848" s="14"/>
      <c r="C1848" s="16"/>
      <c r="D1848" s="16"/>
    </row>
    <row r="1849" spans="1:4" ht="17.25" customHeight="1">
      <c r="A1849" s="14"/>
      <c r="C1849" s="16"/>
      <c r="D1849" s="16"/>
    </row>
    <row r="1850" spans="1:4" ht="17.25" customHeight="1">
      <c r="A1850" s="14"/>
      <c r="C1850" s="16"/>
      <c r="D1850" s="16"/>
    </row>
    <row r="1851" spans="1:4" ht="17.25" customHeight="1">
      <c r="A1851" s="14"/>
      <c r="C1851" s="16"/>
      <c r="D1851" s="16"/>
    </row>
    <row r="1852" spans="1:4" ht="17.25" customHeight="1">
      <c r="A1852" s="14"/>
      <c r="C1852" s="16"/>
      <c r="D1852" s="16"/>
    </row>
    <row r="1853" spans="1:4" ht="17.25" customHeight="1">
      <c r="A1853" s="14"/>
      <c r="C1853" s="16"/>
      <c r="D1853" s="16"/>
    </row>
    <row r="1854" spans="1:4" ht="17.25" customHeight="1">
      <c r="A1854" s="14"/>
      <c r="C1854" s="16"/>
      <c r="D1854" s="16"/>
    </row>
    <row r="1855" spans="1:4" ht="17.25" customHeight="1">
      <c r="A1855" s="14"/>
      <c r="C1855" s="16"/>
      <c r="D1855" s="16"/>
    </row>
    <row r="1856" spans="1:4" ht="17.25" customHeight="1">
      <c r="A1856" s="14"/>
      <c r="C1856" s="16"/>
      <c r="D1856" s="16"/>
    </row>
    <row r="1857" spans="1:4" ht="17.25" customHeight="1">
      <c r="A1857" s="14"/>
      <c r="C1857" s="16"/>
      <c r="D1857" s="16"/>
    </row>
    <row r="1858" spans="1:4" ht="17.25" customHeight="1">
      <c r="A1858" s="14"/>
      <c r="C1858" s="16"/>
      <c r="D1858" s="16"/>
    </row>
    <row r="1859" spans="1:4" ht="17.25" customHeight="1">
      <c r="A1859" s="14"/>
      <c r="C1859" s="16"/>
      <c r="D1859" s="16"/>
    </row>
    <row r="1860" spans="1:4" ht="17.25" customHeight="1">
      <c r="A1860" s="14"/>
      <c r="C1860" s="16"/>
      <c r="D1860" s="16"/>
    </row>
    <row r="1861" spans="1:4" ht="17.25" customHeight="1">
      <c r="A1861" s="14"/>
      <c r="C1861" s="16"/>
      <c r="D1861" s="16"/>
    </row>
    <row r="1862" spans="1:4" ht="17.25" customHeight="1">
      <c r="A1862" s="14"/>
      <c r="C1862" s="16"/>
      <c r="D1862" s="16"/>
    </row>
    <row r="1863" spans="1:4" ht="17.25" customHeight="1">
      <c r="A1863" s="14"/>
      <c r="C1863" s="16"/>
      <c r="D1863" s="16"/>
    </row>
    <row r="1864" spans="1:4" ht="17.25" customHeight="1">
      <c r="A1864" s="14"/>
      <c r="C1864" s="16"/>
      <c r="D1864" s="16"/>
    </row>
    <row r="1865" spans="1:4" ht="17.25" customHeight="1">
      <c r="A1865" s="14"/>
      <c r="C1865" s="16"/>
      <c r="D1865" s="16"/>
    </row>
    <row r="1866" spans="1:4" ht="17.25" customHeight="1">
      <c r="A1866" s="14"/>
      <c r="C1866" s="16"/>
      <c r="D1866" s="16"/>
    </row>
    <row r="1867" spans="1:4" ht="17.25" customHeight="1">
      <c r="A1867" s="14"/>
      <c r="C1867" s="16"/>
      <c r="D1867" s="16"/>
    </row>
    <row r="1868" spans="1:4" ht="17.25" customHeight="1">
      <c r="A1868" s="14"/>
      <c r="C1868" s="16"/>
      <c r="D1868" s="16"/>
    </row>
    <row r="1869" spans="1:4" ht="17.25" customHeight="1">
      <c r="A1869" s="14"/>
      <c r="C1869" s="16"/>
      <c r="D1869" s="16"/>
    </row>
    <row r="1870" spans="1:4" ht="17.25" customHeight="1">
      <c r="A1870" s="14"/>
      <c r="C1870" s="16"/>
      <c r="D1870" s="16"/>
    </row>
    <row r="1871" spans="1:4" ht="17.25" customHeight="1">
      <c r="A1871" s="14"/>
      <c r="C1871" s="16"/>
      <c r="D1871" s="16"/>
    </row>
    <row r="1872" spans="1:4" ht="17.25" customHeight="1">
      <c r="A1872" s="14"/>
      <c r="C1872" s="16"/>
      <c r="D1872" s="16"/>
    </row>
    <row r="1873" spans="1:4" ht="17.25" customHeight="1">
      <c r="A1873" s="14"/>
      <c r="C1873" s="16"/>
      <c r="D1873" s="16"/>
    </row>
    <row r="1874" spans="1:4" ht="17.25" customHeight="1">
      <c r="A1874" s="14"/>
      <c r="C1874" s="16"/>
      <c r="D1874" s="16"/>
    </row>
    <row r="1875" spans="1:4" ht="17.25" customHeight="1">
      <c r="A1875" s="14"/>
      <c r="C1875" s="16"/>
      <c r="D1875" s="16"/>
    </row>
    <row r="1876" spans="1:4" ht="17.25" customHeight="1">
      <c r="A1876" s="14"/>
      <c r="C1876" s="16"/>
      <c r="D1876" s="16"/>
    </row>
    <row r="1877" spans="1:4" ht="17.25" customHeight="1">
      <c r="A1877" s="14"/>
      <c r="C1877" s="16"/>
      <c r="D1877" s="16"/>
    </row>
    <row r="1878" spans="1:4" ht="17.25" customHeight="1">
      <c r="A1878" s="14"/>
      <c r="C1878" s="16"/>
      <c r="D1878" s="16"/>
    </row>
    <row r="1879" spans="1:4" ht="17.25" customHeight="1">
      <c r="A1879" s="14"/>
      <c r="C1879" s="16"/>
      <c r="D1879" s="16"/>
    </row>
    <row r="1880" spans="1:4" ht="17.25" customHeight="1">
      <c r="A1880" s="14"/>
      <c r="C1880" s="16"/>
      <c r="D1880" s="16"/>
    </row>
    <row r="1881" spans="1:4" ht="17.25" customHeight="1">
      <c r="A1881" s="14"/>
      <c r="C1881" s="16"/>
      <c r="D1881" s="16"/>
    </row>
    <row r="1882" spans="1:4" ht="17.25" customHeight="1">
      <c r="A1882" s="14"/>
      <c r="C1882" s="16"/>
      <c r="D1882" s="16"/>
    </row>
    <row r="1883" spans="1:4" ht="17.25" customHeight="1">
      <c r="A1883" s="14"/>
      <c r="C1883" s="16"/>
      <c r="D1883" s="16"/>
    </row>
    <row r="1884" spans="1:4" ht="17.25" customHeight="1">
      <c r="A1884" s="14"/>
      <c r="C1884" s="16"/>
      <c r="D1884" s="16"/>
    </row>
    <row r="1885" spans="1:4" ht="17.25" customHeight="1">
      <c r="A1885" s="14"/>
      <c r="C1885" s="16"/>
      <c r="D1885" s="16"/>
    </row>
    <row r="1886" spans="1:4" ht="17.25" customHeight="1">
      <c r="A1886" s="14"/>
      <c r="C1886" s="16"/>
      <c r="D1886" s="16"/>
    </row>
    <row r="1887" spans="1:4" ht="17.25" customHeight="1">
      <c r="A1887" s="14"/>
      <c r="C1887" s="16"/>
      <c r="D1887" s="16"/>
    </row>
    <row r="1888" spans="1:4" ht="17.25" customHeight="1">
      <c r="A1888" s="14"/>
      <c r="C1888" s="16"/>
      <c r="D1888" s="16"/>
    </row>
    <row r="1889" spans="1:4" ht="17.25" customHeight="1">
      <c r="A1889" s="14"/>
      <c r="C1889" s="16"/>
      <c r="D1889" s="16"/>
    </row>
    <row r="1890" spans="1:4" ht="17.25" customHeight="1">
      <c r="A1890" s="14"/>
      <c r="C1890" s="16"/>
      <c r="D1890" s="16"/>
    </row>
    <row r="1891" spans="1:4" ht="17.25" customHeight="1">
      <c r="A1891" s="14"/>
      <c r="C1891" s="16"/>
      <c r="D1891" s="16"/>
    </row>
    <row r="1892" spans="1:4" ht="17.25" customHeight="1">
      <c r="A1892" s="14"/>
      <c r="C1892" s="16"/>
      <c r="D1892" s="16"/>
    </row>
    <row r="1893" spans="1:4" ht="17.25" customHeight="1">
      <c r="A1893" s="14"/>
      <c r="C1893" s="16"/>
      <c r="D1893" s="16"/>
    </row>
    <row r="1894" spans="1:4" ht="17.25" customHeight="1">
      <c r="A1894" s="14"/>
      <c r="C1894" s="16"/>
      <c r="D1894" s="16"/>
    </row>
    <row r="1895" spans="1:4" ht="17.25" customHeight="1">
      <c r="A1895" s="14"/>
      <c r="C1895" s="16"/>
      <c r="D1895" s="16"/>
    </row>
    <row r="1896" spans="1:4" ht="17.25" customHeight="1">
      <c r="A1896" s="14"/>
      <c r="C1896" s="16"/>
      <c r="D1896" s="16"/>
    </row>
    <row r="1897" spans="1:4" ht="17.25" customHeight="1">
      <c r="A1897" s="14"/>
      <c r="C1897" s="16"/>
      <c r="D1897" s="16"/>
    </row>
    <row r="1898" spans="1:4" ht="17.25" customHeight="1">
      <c r="A1898" s="14"/>
      <c r="C1898" s="16"/>
      <c r="D1898" s="16"/>
    </row>
    <row r="1899" spans="1:4" ht="17.25" customHeight="1">
      <c r="A1899" s="14"/>
      <c r="C1899" s="16"/>
      <c r="D1899" s="16"/>
    </row>
    <row r="1900" spans="1:4" ht="17.25" customHeight="1">
      <c r="A1900" s="14"/>
      <c r="C1900" s="16"/>
      <c r="D1900" s="16"/>
    </row>
    <row r="1901" spans="1:4" ht="17.25" customHeight="1">
      <c r="A1901" s="14"/>
      <c r="C1901" s="16"/>
      <c r="D1901" s="16"/>
    </row>
    <row r="1902" spans="1:4" ht="17.25" customHeight="1">
      <c r="A1902" s="14"/>
      <c r="C1902" s="16"/>
      <c r="D1902" s="16"/>
    </row>
    <row r="1903" spans="1:4" ht="17.25" customHeight="1">
      <c r="A1903" s="14"/>
      <c r="C1903" s="16"/>
      <c r="D1903" s="16"/>
    </row>
    <row r="1904" spans="1:4" ht="17.25" customHeight="1">
      <c r="A1904" s="14"/>
      <c r="C1904" s="16"/>
      <c r="D1904" s="16"/>
    </row>
    <row r="1905" spans="1:4" ht="17.25" customHeight="1">
      <c r="A1905" s="14"/>
      <c r="C1905" s="16"/>
      <c r="D1905" s="16"/>
    </row>
    <row r="1906" spans="1:4" ht="17.25" customHeight="1">
      <c r="A1906" s="14"/>
      <c r="C1906" s="16"/>
      <c r="D1906" s="16"/>
    </row>
    <row r="1907" spans="1:4" ht="17.25" customHeight="1">
      <c r="A1907" s="14"/>
      <c r="C1907" s="16"/>
      <c r="D1907" s="16"/>
    </row>
    <row r="1908" spans="1:4" ht="17.25" customHeight="1">
      <c r="A1908" s="14"/>
      <c r="C1908" s="16"/>
      <c r="D1908" s="16"/>
    </row>
    <row r="1909" spans="1:4" ht="17.25" customHeight="1">
      <c r="A1909" s="14"/>
      <c r="C1909" s="16"/>
      <c r="D1909" s="16"/>
    </row>
    <row r="1910" spans="1:4" ht="17.25" customHeight="1">
      <c r="A1910" s="14"/>
      <c r="C1910" s="16"/>
      <c r="D1910" s="16"/>
    </row>
    <row r="1911" spans="1:4" ht="17.25" customHeight="1">
      <c r="A1911" s="14"/>
      <c r="C1911" s="16"/>
      <c r="D1911" s="16"/>
    </row>
    <row r="1912" spans="1:4" ht="17.25" customHeight="1">
      <c r="A1912" s="14"/>
      <c r="C1912" s="16"/>
      <c r="D1912" s="16"/>
    </row>
    <row r="1913" spans="1:4" ht="17.25" customHeight="1">
      <c r="A1913" s="14"/>
      <c r="C1913" s="16"/>
      <c r="D1913" s="16"/>
    </row>
    <row r="1914" spans="1:4" ht="17.25" customHeight="1">
      <c r="A1914" s="14"/>
      <c r="C1914" s="16"/>
      <c r="D1914" s="16"/>
    </row>
    <row r="1915" spans="1:4" ht="17.25" customHeight="1">
      <c r="A1915" s="14"/>
      <c r="C1915" s="16"/>
      <c r="D1915" s="16"/>
    </row>
    <row r="1916" spans="1:4" ht="17.25" customHeight="1">
      <c r="A1916" s="14"/>
      <c r="C1916" s="16"/>
      <c r="D1916" s="16"/>
    </row>
    <row r="1917" spans="1:4" ht="17.25" customHeight="1">
      <c r="A1917" s="14"/>
      <c r="C1917" s="16"/>
      <c r="D1917" s="16"/>
    </row>
    <row r="1918" spans="1:4" ht="17.25" customHeight="1">
      <c r="A1918" s="14"/>
      <c r="C1918" s="16"/>
      <c r="D1918" s="16"/>
    </row>
    <row r="1919" spans="1:4" ht="17.25" customHeight="1">
      <c r="A1919" s="14"/>
      <c r="C1919" s="16"/>
      <c r="D1919" s="16"/>
    </row>
    <row r="1920" spans="1:4" ht="17.25" customHeight="1">
      <c r="A1920" s="14"/>
      <c r="C1920" s="16"/>
      <c r="D1920" s="16"/>
    </row>
    <row r="1921" spans="1:4" ht="17.25" customHeight="1">
      <c r="A1921" s="14"/>
      <c r="C1921" s="16"/>
      <c r="D1921" s="16"/>
    </row>
    <row r="1922" spans="1:4" ht="17.25" customHeight="1">
      <c r="A1922" s="14"/>
      <c r="C1922" s="16"/>
      <c r="D1922" s="16"/>
    </row>
    <row r="1923" spans="1:4" ht="17.25" customHeight="1">
      <c r="A1923" s="14"/>
      <c r="C1923" s="16"/>
      <c r="D1923" s="16"/>
    </row>
    <row r="1924" spans="1:4" ht="17.25" customHeight="1">
      <c r="A1924" s="14"/>
      <c r="C1924" s="16"/>
      <c r="D1924" s="16"/>
    </row>
    <row r="1925" spans="1:4" ht="17.25" customHeight="1">
      <c r="A1925" s="14"/>
      <c r="C1925" s="16"/>
      <c r="D1925" s="16"/>
    </row>
    <row r="1926" spans="1:4" ht="17.25" customHeight="1">
      <c r="A1926" s="14"/>
      <c r="C1926" s="16"/>
      <c r="D1926" s="16"/>
    </row>
    <row r="1927" spans="1:4" ht="17.25" customHeight="1">
      <c r="A1927" s="14"/>
      <c r="C1927" s="16"/>
      <c r="D1927" s="16"/>
    </row>
    <row r="1928" spans="1:4" ht="17.25" customHeight="1">
      <c r="A1928" s="14"/>
      <c r="C1928" s="16"/>
      <c r="D1928" s="16"/>
    </row>
    <row r="1929" spans="1:4" ht="17.25" customHeight="1">
      <c r="A1929" s="14"/>
      <c r="C1929" s="16"/>
      <c r="D1929" s="16"/>
    </row>
    <row r="1930" spans="1:4" ht="17.25" customHeight="1">
      <c r="A1930" s="14"/>
      <c r="C1930" s="16"/>
      <c r="D1930" s="16"/>
    </row>
    <row r="1931" spans="1:4" ht="17.25" customHeight="1">
      <c r="A1931" s="14"/>
      <c r="C1931" s="16"/>
      <c r="D1931" s="16"/>
    </row>
    <row r="1932" spans="1:4" ht="17.25" customHeight="1">
      <c r="A1932" s="14"/>
      <c r="C1932" s="16"/>
      <c r="D1932" s="16"/>
    </row>
    <row r="1933" spans="1:4" ht="17.25" customHeight="1">
      <c r="A1933" s="14"/>
      <c r="C1933" s="16"/>
      <c r="D1933" s="16"/>
    </row>
    <row r="1934" spans="1:4" ht="17.25" customHeight="1">
      <c r="A1934" s="14"/>
      <c r="C1934" s="16"/>
      <c r="D1934" s="16"/>
    </row>
    <row r="1935" spans="1:4" ht="17.25" customHeight="1">
      <c r="A1935" s="14"/>
      <c r="C1935" s="16"/>
      <c r="D1935" s="16"/>
    </row>
    <row r="1936" spans="1:4" ht="17.25" customHeight="1">
      <c r="A1936" s="14"/>
      <c r="C1936" s="16"/>
      <c r="D1936" s="16"/>
    </row>
    <row r="1937" spans="1:4" ht="17.25" customHeight="1">
      <c r="A1937" s="14"/>
      <c r="C1937" s="16"/>
      <c r="D1937" s="16"/>
    </row>
    <row r="1938" spans="1:4" ht="17.25" customHeight="1">
      <c r="A1938" s="14"/>
      <c r="C1938" s="16"/>
      <c r="D1938" s="16"/>
    </row>
    <row r="1939" spans="1:4" ht="17.25" customHeight="1">
      <c r="A1939" s="14"/>
      <c r="C1939" s="16"/>
      <c r="D1939" s="16"/>
    </row>
    <row r="1940" spans="1:4" ht="17.25" customHeight="1">
      <c r="A1940" s="14"/>
      <c r="C1940" s="16"/>
      <c r="D1940" s="16"/>
    </row>
    <row r="1941" spans="1:4" ht="17.25" customHeight="1">
      <c r="A1941" s="14"/>
      <c r="C1941" s="16"/>
      <c r="D1941" s="16"/>
    </row>
    <row r="1942" spans="1:4" ht="17.25" customHeight="1">
      <c r="A1942" s="14"/>
      <c r="C1942" s="16"/>
      <c r="D1942" s="16"/>
    </row>
    <row r="1943" spans="1:4" ht="17.25" customHeight="1">
      <c r="A1943" s="14"/>
      <c r="C1943" s="16"/>
      <c r="D1943" s="16"/>
    </row>
    <row r="1944" spans="1:4" ht="17.25" customHeight="1">
      <c r="A1944" s="14"/>
      <c r="C1944" s="16"/>
      <c r="D1944" s="16"/>
    </row>
    <row r="1945" spans="1:4" ht="17.25" customHeight="1">
      <c r="A1945" s="14"/>
      <c r="C1945" s="16"/>
      <c r="D1945" s="16"/>
    </row>
    <row r="1946" spans="1:4" ht="17.25" customHeight="1">
      <c r="A1946" s="14"/>
      <c r="C1946" s="16"/>
      <c r="D1946" s="16"/>
    </row>
    <row r="1947" spans="1:4" ht="17.25" customHeight="1">
      <c r="A1947" s="14"/>
      <c r="C1947" s="16"/>
      <c r="D1947" s="16"/>
    </row>
    <row r="1948" spans="1:4" ht="17.25" customHeight="1">
      <c r="A1948" s="14"/>
      <c r="C1948" s="16"/>
      <c r="D1948" s="16"/>
    </row>
    <row r="1949" spans="1:4" ht="17.25" customHeight="1">
      <c r="A1949" s="14"/>
      <c r="C1949" s="16"/>
      <c r="D1949" s="16"/>
    </row>
    <row r="1950" spans="1:4" ht="17.25" customHeight="1">
      <c r="A1950" s="14"/>
      <c r="C1950" s="16"/>
      <c r="D1950" s="16"/>
    </row>
    <row r="1951" spans="1:4" ht="17.25" customHeight="1">
      <c r="A1951" s="14"/>
      <c r="C1951" s="16"/>
      <c r="D1951" s="16"/>
    </row>
    <row r="1952" spans="1:4" ht="17.25" customHeight="1">
      <c r="A1952" s="14"/>
      <c r="C1952" s="16"/>
      <c r="D1952" s="16"/>
    </row>
    <row r="1953" spans="1:4" ht="17.25" customHeight="1">
      <c r="A1953" s="14"/>
      <c r="C1953" s="16"/>
      <c r="D1953" s="16"/>
    </row>
    <row r="1954" spans="1:4" ht="17.25" customHeight="1">
      <c r="A1954" s="14"/>
      <c r="C1954" s="16"/>
      <c r="D1954" s="16"/>
    </row>
    <row r="1955" spans="1:4" ht="17.25" customHeight="1">
      <c r="A1955" s="14"/>
      <c r="C1955" s="16"/>
      <c r="D1955" s="16"/>
    </row>
    <row r="1956" spans="1:4" ht="17.25" customHeight="1">
      <c r="A1956" s="14"/>
      <c r="C1956" s="16"/>
      <c r="D1956" s="16"/>
    </row>
    <row r="1957" spans="1:4" ht="17.25" customHeight="1">
      <c r="A1957" s="14"/>
      <c r="C1957" s="16"/>
      <c r="D1957" s="16"/>
    </row>
    <row r="1958" spans="1:4" ht="17.25" customHeight="1">
      <c r="A1958" s="14"/>
      <c r="C1958" s="16"/>
      <c r="D1958" s="16"/>
    </row>
    <row r="1959" spans="1:4" ht="17.25" customHeight="1">
      <c r="A1959" s="14"/>
      <c r="C1959" s="16"/>
      <c r="D1959" s="16"/>
    </row>
    <row r="1960" spans="1:4" ht="17.25" customHeight="1">
      <c r="A1960" s="14"/>
      <c r="C1960" s="16"/>
      <c r="D1960" s="16"/>
    </row>
    <row r="1961" spans="1:4" ht="17.25" customHeight="1">
      <c r="A1961" s="14"/>
      <c r="C1961" s="16"/>
      <c r="D1961" s="16"/>
    </row>
    <row r="1962" spans="1:4" ht="17.25" customHeight="1">
      <c r="A1962" s="14"/>
      <c r="C1962" s="16"/>
      <c r="D1962" s="16"/>
    </row>
    <row r="1963" spans="1:4" ht="17.25" customHeight="1">
      <c r="A1963" s="14"/>
      <c r="C1963" s="16"/>
      <c r="D1963" s="16"/>
    </row>
    <row r="1964" spans="1:4" ht="17.25" customHeight="1">
      <c r="A1964" s="14"/>
      <c r="C1964" s="16"/>
      <c r="D1964" s="16"/>
    </row>
    <row r="1965" spans="1:4" ht="17.25" customHeight="1">
      <c r="A1965" s="14"/>
      <c r="C1965" s="16"/>
      <c r="D1965" s="16"/>
    </row>
    <row r="1966" spans="1:4" ht="17.25" customHeight="1">
      <c r="A1966" s="14"/>
      <c r="C1966" s="16"/>
      <c r="D1966" s="16"/>
    </row>
    <row r="1967" spans="1:4" ht="17.25" customHeight="1">
      <c r="A1967" s="14"/>
      <c r="C1967" s="16"/>
      <c r="D1967" s="16"/>
    </row>
    <row r="1968" spans="1:4" ht="17.25" customHeight="1">
      <c r="A1968" s="14"/>
      <c r="C1968" s="16"/>
      <c r="D1968" s="16"/>
    </row>
    <row r="1969" spans="1:4" ht="17.25" customHeight="1">
      <c r="A1969" s="14"/>
      <c r="C1969" s="16"/>
      <c r="D1969" s="16"/>
    </row>
    <row r="1970" spans="1:4" ht="17.25" customHeight="1">
      <c r="A1970" s="14"/>
      <c r="C1970" s="16"/>
      <c r="D1970" s="16"/>
    </row>
    <row r="1971" spans="1:4" ht="17.25" customHeight="1">
      <c r="A1971" s="14"/>
      <c r="C1971" s="16"/>
      <c r="D1971" s="16"/>
    </row>
    <row r="1972" spans="1:4" ht="17.25" customHeight="1">
      <c r="A1972" s="14"/>
      <c r="C1972" s="16"/>
      <c r="D1972" s="16"/>
    </row>
    <row r="1973" spans="1:4" ht="17.25" customHeight="1">
      <c r="A1973" s="14"/>
      <c r="C1973" s="16"/>
      <c r="D1973" s="16"/>
    </row>
    <row r="1974" spans="1:4" ht="17.25" customHeight="1">
      <c r="A1974" s="14"/>
      <c r="C1974" s="16"/>
      <c r="D1974" s="16"/>
    </row>
    <row r="1975" spans="1:4" ht="17.25" customHeight="1">
      <c r="A1975" s="14"/>
      <c r="C1975" s="16"/>
      <c r="D1975" s="16"/>
    </row>
    <row r="1976" spans="1:4" ht="17.25" customHeight="1">
      <c r="A1976" s="14"/>
      <c r="C1976" s="16"/>
      <c r="D1976" s="16"/>
    </row>
    <row r="1977" spans="1:4" ht="17.25" customHeight="1">
      <c r="A1977" s="14"/>
      <c r="C1977" s="16"/>
      <c r="D1977" s="16"/>
    </row>
    <row r="1978" spans="1:4" ht="17.25" customHeight="1">
      <c r="A1978" s="14"/>
      <c r="C1978" s="16"/>
      <c r="D1978" s="16"/>
    </row>
    <row r="1979" spans="1:4" ht="17.25" customHeight="1">
      <c r="A1979" s="14"/>
      <c r="C1979" s="16"/>
      <c r="D1979" s="16"/>
    </row>
    <row r="1980" spans="1:4" ht="17.25" customHeight="1">
      <c r="A1980" s="14"/>
      <c r="C1980" s="16"/>
      <c r="D1980" s="16"/>
    </row>
    <row r="1981" spans="1:4" ht="17.25" customHeight="1">
      <c r="A1981" s="14"/>
      <c r="C1981" s="16"/>
      <c r="D1981" s="16"/>
    </row>
    <row r="1982" spans="1:4" ht="17.25" customHeight="1">
      <c r="A1982" s="14"/>
      <c r="C1982" s="16"/>
      <c r="D1982" s="16"/>
    </row>
    <row r="1983" spans="1:4" ht="17.25" customHeight="1">
      <c r="A1983" s="14"/>
      <c r="C1983" s="16"/>
      <c r="D1983" s="16"/>
    </row>
    <row r="1984" spans="1:4" ht="17.25" customHeight="1">
      <c r="A1984" s="14"/>
      <c r="C1984" s="16"/>
      <c r="D1984" s="16"/>
    </row>
    <row r="1985" spans="1:4" ht="17.25" customHeight="1">
      <c r="A1985" s="14"/>
      <c r="C1985" s="16"/>
      <c r="D1985" s="16"/>
    </row>
    <row r="1986" spans="1:4" ht="17.25" customHeight="1">
      <c r="A1986" s="14"/>
      <c r="C1986" s="16"/>
      <c r="D1986" s="16"/>
    </row>
    <row r="1987" spans="1:4" ht="17.25" customHeight="1">
      <c r="A1987" s="14"/>
      <c r="C1987" s="16"/>
      <c r="D1987" s="16"/>
    </row>
    <row r="1988" spans="1:4" ht="17.25" customHeight="1">
      <c r="A1988" s="14"/>
      <c r="C1988" s="16"/>
      <c r="D1988" s="16"/>
    </row>
    <row r="1989" spans="1:4" ht="17.25" customHeight="1">
      <c r="A1989" s="14"/>
      <c r="C1989" s="16"/>
      <c r="D1989" s="16"/>
    </row>
    <row r="1990" spans="1:4" ht="17.25" customHeight="1">
      <c r="A1990" s="14"/>
      <c r="C1990" s="16"/>
      <c r="D1990" s="16"/>
    </row>
    <row r="1991" spans="1:4" ht="17.25" customHeight="1">
      <c r="A1991" s="14"/>
      <c r="C1991" s="16"/>
      <c r="D1991" s="16"/>
    </row>
    <row r="1992" spans="1:4" ht="17.25" customHeight="1">
      <c r="A1992" s="14"/>
      <c r="C1992" s="16"/>
      <c r="D1992" s="16"/>
    </row>
    <row r="1993" spans="1:4" ht="17.25" customHeight="1">
      <c r="A1993" s="14"/>
      <c r="C1993" s="16"/>
      <c r="D1993" s="16"/>
    </row>
    <row r="1994" spans="1:4" ht="17.25" customHeight="1">
      <c r="A1994" s="14"/>
      <c r="C1994" s="16"/>
      <c r="D1994" s="16"/>
    </row>
    <row r="1995" spans="1:4" ht="17.25" customHeight="1">
      <c r="A1995" s="14"/>
      <c r="C1995" s="16"/>
      <c r="D1995" s="16"/>
    </row>
    <row r="1996" spans="1:4" ht="17.25" customHeight="1">
      <c r="A1996" s="14"/>
      <c r="C1996" s="16"/>
      <c r="D1996" s="16"/>
    </row>
    <row r="1997" spans="1:4" ht="17.25" customHeight="1">
      <c r="A1997" s="14"/>
      <c r="C1997" s="16"/>
      <c r="D1997" s="16"/>
    </row>
    <row r="1998" spans="1:4" ht="17.25" customHeight="1">
      <c r="A1998" s="14"/>
      <c r="C1998" s="16"/>
      <c r="D1998" s="16"/>
    </row>
    <row r="1999" spans="1:4" ht="17.25" customHeight="1">
      <c r="A1999" s="14"/>
      <c r="C1999" s="16"/>
      <c r="D1999" s="16"/>
    </row>
    <row r="2000" spans="1:4" ht="17.25" customHeight="1">
      <c r="A2000" s="14"/>
      <c r="C2000" s="16"/>
      <c r="D2000" s="16"/>
    </row>
    <row r="2001" spans="1:4" ht="17.25" customHeight="1">
      <c r="A2001" s="14"/>
      <c r="C2001" s="16"/>
      <c r="D2001" s="16"/>
    </row>
    <row r="2002" spans="1:4" ht="17.25" customHeight="1">
      <c r="A2002" s="14"/>
      <c r="C2002" s="16"/>
      <c r="D2002" s="16"/>
    </row>
    <row r="2003" spans="1:4" ht="17.25" customHeight="1">
      <c r="A2003" s="14"/>
      <c r="C2003" s="16"/>
      <c r="D2003" s="16"/>
    </row>
    <row r="2004" spans="1:4" ht="17.25" customHeight="1">
      <c r="A2004" s="14"/>
      <c r="C2004" s="16"/>
      <c r="D2004" s="16"/>
    </row>
    <row r="2005" spans="1:4" ht="17.25" customHeight="1">
      <c r="A2005" s="14"/>
      <c r="C2005" s="16"/>
      <c r="D2005" s="16"/>
    </row>
    <row r="2006" spans="1:4" ht="17.25" customHeight="1">
      <c r="A2006" s="14"/>
      <c r="C2006" s="16"/>
      <c r="D2006" s="16"/>
    </row>
    <row r="2007" spans="1:4" ht="17.25" customHeight="1">
      <c r="A2007" s="14"/>
      <c r="C2007" s="16"/>
      <c r="D2007" s="16"/>
    </row>
    <row r="2008" spans="1:4" ht="17.25" customHeight="1">
      <c r="A2008" s="14"/>
      <c r="C2008" s="16"/>
      <c r="D2008" s="16"/>
    </row>
    <row r="2009" spans="1:4" ht="17.25" customHeight="1">
      <c r="A2009" s="14"/>
      <c r="C2009" s="16"/>
      <c r="D2009" s="16"/>
    </row>
    <row r="2010" spans="1:4" ht="17.25" customHeight="1">
      <c r="A2010" s="14"/>
      <c r="C2010" s="16"/>
      <c r="D2010" s="16"/>
    </row>
    <row r="2011" spans="1:4" ht="17.25" customHeight="1">
      <c r="A2011" s="14"/>
      <c r="C2011" s="16"/>
      <c r="D2011" s="16"/>
    </row>
    <row r="2012" spans="1:4" ht="17.25" customHeight="1">
      <c r="A2012" s="14"/>
      <c r="C2012" s="16"/>
      <c r="D2012" s="16"/>
    </row>
    <row r="2013" spans="1:4" ht="17.25" customHeight="1">
      <c r="A2013" s="14"/>
      <c r="C2013" s="16"/>
      <c r="D2013" s="16"/>
    </row>
    <row r="2014" spans="1:4" ht="17.25" customHeight="1">
      <c r="A2014" s="14"/>
      <c r="C2014" s="16"/>
      <c r="D2014" s="16"/>
    </row>
    <row r="2015" spans="1:4" ht="17.25" customHeight="1">
      <c r="A2015" s="14"/>
      <c r="C2015" s="16"/>
      <c r="D2015" s="16"/>
    </row>
    <row r="2016" spans="1:4" ht="17.25" customHeight="1">
      <c r="A2016" s="14"/>
      <c r="C2016" s="16"/>
      <c r="D2016" s="16"/>
    </row>
    <row r="2017" spans="1:4" ht="17.25" customHeight="1">
      <c r="A2017" s="14"/>
      <c r="C2017" s="16"/>
      <c r="D2017" s="16"/>
    </row>
    <row r="2018" spans="1:4" ht="17.25" customHeight="1">
      <c r="A2018" s="14"/>
      <c r="C2018" s="16"/>
      <c r="D2018" s="16"/>
    </row>
    <row r="2019" spans="1:4" ht="17.25" customHeight="1">
      <c r="A2019" s="14"/>
      <c r="C2019" s="16"/>
      <c r="D2019" s="16"/>
    </row>
    <row r="2020" spans="1:4" ht="17.25" customHeight="1">
      <c r="A2020" s="14"/>
      <c r="C2020" s="16"/>
      <c r="D2020" s="16"/>
    </row>
    <row r="2021" spans="1:4" ht="17.25" customHeight="1">
      <c r="A2021" s="14"/>
      <c r="C2021" s="16"/>
      <c r="D2021" s="16"/>
    </row>
    <row r="2022" spans="1:4" ht="17.25" customHeight="1">
      <c r="A2022" s="14"/>
      <c r="C2022" s="16"/>
      <c r="D2022" s="16"/>
    </row>
    <row r="2023" spans="1:4" ht="17.25" customHeight="1">
      <c r="A2023" s="14"/>
      <c r="C2023" s="16"/>
      <c r="D2023" s="16"/>
    </row>
    <row r="2024" spans="1:4" ht="17.25" customHeight="1">
      <c r="A2024" s="14"/>
      <c r="C2024" s="16"/>
      <c r="D2024" s="16"/>
    </row>
    <row r="2025" spans="1:4" ht="17.25" customHeight="1">
      <c r="A2025" s="14"/>
      <c r="C2025" s="16"/>
      <c r="D2025" s="16"/>
    </row>
    <row r="2026" spans="1:4" ht="17.25" customHeight="1">
      <c r="A2026" s="14"/>
      <c r="C2026" s="16"/>
      <c r="D2026" s="16"/>
    </row>
    <row r="2027" spans="1:4" ht="17.25" customHeight="1">
      <c r="A2027" s="14"/>
      <c r="C2027" s="16"/>
      <c r="D2027" s="16"/>
    </row>
    <row r="2028" spans="1:4" ht="17.25" customHeight="1">
      <c r="A2028" s="14"/>
      <c r="C2028" s="16"/>
      <c r="D2028" s="16"/>
    </row>
    <row r="2029" spans="1:4" ht="17.25" customHeight="1">
      <c r="A2029" s="14"/>
      <c r="C2029" s="16"/>
      <c r="D2029" s="16"/>
    </row>
    <row r="2030" spans="1:4" ht="17.25" customHeight="1">
      <c r="A2030" s="14"/>
      <c r="C2030" s="16"/>
      <c r="D2030" s="16"/>
    </row>
    <row r="2031" spans="1:4" ht="17.25" customHeight="1">
      <c r="A2031" s="14"/>
      <c r="C2031" s="16"/>
      <c r="D2031" s="16"/>
    </row>
    <row r="2032" spans="1:4" ht="17.25" customHeight="1">
      <c r="A2032" s="14"/>
      <c r="C2032" s="16"/>
      <c r="D2032" s="16"/>
    </row>
    <row r="2033" spans="1:4" ht="17.25" customHeight="1">
      <c r="A2033" s="14"/>
      <c r="C2033" s="16"/>
      <c r="D2033" s="16"/>
    </row>
    <row r="2034" spans="1:4" ht="17.25" customHeight="1">
      <c r="A2034" s="14"/>
      <c r="C2034" s="16"/>
      <c r="D2034" s="16"/>
    </row>
    <row r="2035" spans="1:4" ht="17.25" customHeight="1">
      <c r="A2035" s="14"/>
      <c r="C2035" s="16"/>
      <c r="D2035" s="16"/>
    </row>
    <row r="2036" spans="1:4" ht="17.25" customHeight="1">
      <c r="A2036" s="14"/>
      <c r="C2036" s="16"/>
      <c r="D2036" s="16"/>
    </row>
    <row r="2037" spans="1:4" ht="17.25" customHeight="1">
      <c r="A2037" s="14"/>
      <c r="C2037" s="16"/>
      <c r="D2037" s="16"/>
    </row>
    <row r="2038" spans="1:4" ht="17.25" customHeight="1">
      <c r="A2038" s="14"/>
      <c r="C2038" s="16"/>
      <c r="D2038" s="16"/>
    </row>
    <row r="2039" spans="1:4" ht="17.25" customHeight="1">
      <c r="A2039" s="14"/>
      <c r="C2039" s="16"/>
      <c r="D2039" s="16"/>
    </row>
    <row r="2040" spans="1:4" ht="17.25" customHeight="1">
      <c r="A2040" s="14"/>
      <c r="C2040" s="16"/>
      <c r="D2040" s="16"/>
    </row>
    <row r="2041" spans="1:4" ht="17.25" customHeight="1">
      <c r="A2041" s="14"/>
      <c r="C2041" s="16"/>
      <c r="D2041" s="16"/>
    </row>
    <row r="2042" spans="1:4" ht="17.25" customHeight="1">
      <c r="A2042" s="14"/>
      <c r="C2042" s="16"/>
      <c r="D2042" s="16"/>
    </row>
    <row r="2043" spans="1:4" ht="17.25" customHeight="1">
      <c r="A2043" s="14"/>
      <c r="C2043" s="16"/>
      <c r="D2043" s="16"/>
    </row>
    <row r="2044" spans="1:4" ht="17.25" customHeight="1">
      <c r="A2044" s="14"/>
      <c r="C2044" s="16"/>
      <c r="D2044" s="16"/>
    </row>
    <row r="2045" spans="1:4" ht="17.25" customHeight="1">
      <c r="A2045" s="14"/>
      <c r="C2045" s="16"/>
      <c r="D2045" s="16"/>
    </row>
    <row r="2046" spans="1:4" ht="17.25" customHeight="1">
      <c r="A2046" s="14"/>
      <c r="C2046" s="16"/>
      <c r="D2046" s="16"/>
    </row>
    <row r="2047" spans="1:4" ht="17.25" customHeight="1">
      <c r="A2047" s="14"/>
      <c r="C2047" s="16"/>
      <c r="D2047" s="16"/>
    </row>
    <row r="2048" spans="1:4" ht="17.25" customHeight="1">
      <c r="A2048" s="14"/>
      <c r="C2048" s="16"/>
      <c r="D2048" s="16"/>
    </row>
    <row r="2049" spans="1:4" ht="17.25" customHeight="1">
      <c r="A2049" s="14"/>
      <c r="C2049" s="16"/>
      <c r="D2049" s="16"/>
    </row>
    <row r="2050" spans="1:4" ht="17.25" customHeight="1">
      <c r="A2050" s="14"/>
      <c r="C2050" s="16"/>
      <c r="D2050" s="16"/>
    </row>
    <row r="2051" spans="1:4" ht="17.25" customHeight="1">
      <c r="A2051" s="14"/>
      <c r="C2051" s="16"/>
      <c r="D2051" s="16"/>
    </row>
    <row r="2052" spans="1:4" ht="17.25" customHeight="1">
      <c r="A2052" s="14"/>
      <c r="C2052" s="16"/>
      <c r="D2052" s="16"/>
    </row>
    <row r="2053" spans="1:4" ht="17.25" customHeight="1">
      <c r="A2053" s="14"/>
      <c r="C2053" s="16"/>
      <c r="D2053" s="16"/>
    </row>
    <row r="2054" spans="1:4" ht="17.25" customHeight="1">
      <c r="A2054" s="14"/>
      <c r="C2054" s="16"/>
      <c r="D2054" s="16"/>
    </row>
    <row r="2055" spans="1:4" ht="17.25" customHeight="1">
      <c r="A2055" s="14"/>
      <c r="C2055" s="16"/>
      <c r="D2055" s="16"/>
    </row>
    <row r="2056" spans="1:4" ht="17.25" customHeight="1">
      <c r="A2056" s="14"/>
      <c r="C2056" s="16"/>
      <c r="D2056" s="16"/>
    </row>
    <row r="2057" spans="1:4" ht="17.25" customHeight="1">
      <c r="A2057" s="14"/>
      <c r="C2057" s="16"/>
      <c r="D2057" s="16"/>
    </row>
    <row r="2058" spans="1:4" ht="17.25" customHeight="1">
      <c r="A2058" s="14"/>
      <c r="C2058" s="16"/>
      <c r="D2058" s="16"/>
    </row>
    <row r="2059" spans="1:4" ht="17.25" customHeight="1">
      <c r="A2059" s="14"/>
      <c r="C2059" s="16"/>
      <c r="D2059" s="16"/>
    </row>
    <row r="2060" spans="1:4" ht="17.25" customHeight="1">
      <c r="A2060" s="14"/>
      <c r="C2060" s="16"/>
      <c r="D2060" s="16"/>
    </row>
    <row r="2061" spans="1:4" ht="17.25" customHeight="1">
      <c r="A2061" s="14"/>
      <c r="C2061" s="16"/>
      <c r="D2061" s="16"/>
    </row>
    <row r="2062" spans="1:4" ht="17.25" customHeight="1">
      <c r="A2062" s="14"/>
      <c r="C2062" s="16"/>
      <c r="D2062" s="16"/>
    </row>
    <row r="2063" spans="1:4" ht="17.25" customHeight="1">
      <c r="A2063" s="14"/>
      <c r="C2063" s="16"/>
      <c r="D2063" s="16"/>
    </row>
    <row r="2064" spans="1:4" ht="17.25" customHeight="1">
      <c r="A2064" s="14"/>
      <c r="C2064" s="16"/>
      <c r="D2064" s="16"/>
    </row>
    <row r="2065" spans="1:4" ht="17.25" customHeight="1">
      <c r="A2065" s="14"/>
      <c r="C2065" s="16"/>
      <c r="D2065" s="16"/>
    </row>
    <row r="2066" spans="1:4" ht="17.25" customHeight="1">
      <c r="A2066" s="14"/>
      <c r="C2066" s="16"/>
      <c r="D2066" s="16"/>
    </row>
    <row r="2067" spans="1:4" ht="17.25" customHeight="1">
      <c r="A2067" s="14"/>
      <c r="C2067" s="16"/>
      <c r="D2067" s="16"/>
    </row>
    <row r="2068" spans="1:4" ht="17.25" customHeight="1">
      <c r="A2068" s="14"/>
      <c r="C2068" s="16"/>
      <c r="D2068" s="16"/>
    </row>
    <row r="2069" spans="1:4" ht="17.25" customHeight="1">
      <c r="A2069" s="14"/>
      <c r="C2069" s="16"/>
      <c r="D2069" s="16"/>
    </row>
    <row r="2070" spans="1:4" ht="17.25" customHeight="1">
      <c r="A2070" s="14"/>
      <c r="C2070" s="16"/>
      <c r="D2070" s="16"/>
    </row>
    <row r="2071" spans="1:4" ht="17.25" customHeight="1">
      <c r="A2071" s="14"/>
      <c r="C2071" s="16"/>
      <c r="D2071" s="16"/>
    </row>
    <row r="2072" spans="1:4" ht="17.25" customHeight="1">
      <c r="A2072" s="14"/>
      <c r="C2072" s="16"/>
      <c r="D2072" s="16"/>
    </row>
    <row r="2073" spans="1:4" ht="17.25" customHeight="1">
      <c r="A2073" s="14"/>
      <c r="C2073" s="16"/>
      <c r="D2073" s="16"/>
    </row>
    <row r="2074" spans="1:4" ht="17.25" customHeight="1">
      <c r="A2074" s="14"/>
      <c r="C2074" s="16"/>
      <c r="D2074" s="16"/>
    </row>
    <row r="2075" spans="1:4" ht="17.25" customHeight="1">
      <c r="A2075" s="14"/>
      <c r="C2075" s="16"/>
      <c r="D2075" s="16"/>
    </row>
    <row r="2076" spans="1:4" ht="17.25" customHeight="1">
      <c r="A2076" s="14"/>
      <c r="C2076" s="16"/>
      <c r="D2076" s="16"/>
    </row>
    <row r="2077" spans="1:4" ht="17.25" customHeight="1">
      <c r="A2077" s="14"/>
      <c r="C2077" s="16"/>
      <c r="D2077" s="16"/>
    </row>
    <row r="2078" spans="1:4" ht="17.25" customHeight="1">
      <c r="A2078" s="14"/>
      <c r="C2078" s="16"/>
      <c r="D2078" s="16"/>
    </row>
    <row r="2079" spans="1:4" ht="17.25" customHeight="1">
      <c r="A2079" s="14"/>
      <c r="C2079" s="16"/>
      <c r="D2079" s="16"/>
    </row>
    <row r="2080" spans="1:4" ht="17.25" customHeight="1">
      <c r="A2080" s="14"/>
      <c r="C2080" s="16"/>
      <c r="D2080" s="16"/>
    </row>
    <row r="2081" spans="1:4" ht="17.25" customHeight="1">
      <c r="A2081" s="14"/>
      <c r="C2081" s="16"/>
      <c r="D2081" s="16"/>
    </row>
    <row r="2082" spans="1:4" ht="17.25" customHeight="1">
      <c r="A2082" s="14"/>
      <c r="C2082" s="16"/>
      <c r="D2082" s="16"/>
    </row>
    <row r="2083" spans="1:4" ht="17.25" customHeight="1">
      <c r="A2083" s="14"/>
      <c r="C2083" s="16"/>
      <c r="D2083" s="16"/>
    </row>
    <row r="2084" spans="1:4" ht="17.25" customHeight="1">
      <c r="A2084" s="14"/>
      <c r="C2084" s="16"/>
      <c r="D2084" s="16"/>
    </row>
    <row r="2085" spans="1:4" ht="17.25" customHeight="1">
      <c r="A2085" s="14"/>
      <c r="C2085" s="16"/>
      <c r="D2085" s="16"/>
    </row>
    <row r="2086" spans="1:4" ht="17.25" customHeight="1">
      <c r="A2086" s="14"/>
      <c r="C2086" s="16"/>
      <c r="D2086" s="16"/>
    </row>
    <row r="2087" spans="1:4" ht="17.25" customHeight="1">
      <c r="A2087" s="14"/>
      <c r="C2087" s="16"/>
      <c r="D2087" s="16"/>
    </row>
    <row r="2088" spans="1:4" ht="17.25" customHeight="1">
      <c r="A2088" s="14"/>
      <c r="C2088" s="16"/>
      <c r="D2088" s="16"/>
    </row>
    <row r="2089" spans="1:4" ht="17.25" customHeight="1">
      <c r="A2089" s="14"/>
      <c r="C2089" s="16"/>
      <c r="D2089" s="16"/>
    </row>
    <row r="2090" spans="1:4" ht="17.25" customHeight="1">
      <c r="A2090" s="14"/>
      <c r="C2090" s="16"/>
      <c r="D2090" s="16"/>
    </row>
    <row r="2091" spans="1:4" ht="17.25" customHeight="1">
      <c r="A2091" s="14"/>
      <c r="C2091" s="16"/>
      <c r="D2091" s="16"/>
    </row>
    <row r="2092" spans="1:4" ht="17.25" customHeight="1">
      <c r="A2092" s="14"/>
      <c r="C2092" s="16"/>
      <c r="D2092" s="16"/>
    </row>
    <row r="2093" spans="1:4" ht="17.25" customHeight="1">
      <c r="A2093" s="14"/>
      <c r="C2093" s="16"/>
      <c r="D2093" s="16"/>
    </row>
    <row r="2094" spans="1:4" ht="17.25" customHeight="1">
      <c r="A2094" s="14"/>
      <c r="C2094" s="16"/>
      <c r="D2094" s="16"/>
    </row>
    <row r="2095" spans="1:4" ht="17.25" customHeight="1">
      <c r="A2095" s="14"/>
      <c r="C2095" s="16"/>
      <c r="D2095" s="16"/>
    </row>
    <row r="2096" spans="1:4" ht="17.25" customHeight="1">
      <c r="A2096" s="14"/>
      <c r="C2096" s="16"/>
      <c r="D2096" s="16"/>
    </row>
    <row r="2097" spans="1:4" ht="17.25" customHeight="1">
      <c r="A2097" s="14"/>
      <c r="C2097" s="16"/>
      <c r="D2097" s="16"/>
    </row>
    <row r="2098" spans="1:4" ht="17.25" customHeight="1">
      <c r="A2098" s="14"/>
      <c r="C2098" s="16"/>
      <c r="D2098" s="16"/>
    </row>
    <row r="2099" spans="1:4" ht="17.25" customHeight="1">
      <c r="A2099" s="14"/>
      <c r="C2099" s="16"/>
      <c r="D2099" s="16"/>
    </row>
    <row r="2100" spans="1:4" ht="17.25" customHeight="1">
      <c r="A2100" s="14"/>
      <c r="C2100" s="16"/>
      <c r="D2100" s="16"/>
    </row>
    <row r="2101" spans="1:4" ht="17.25" customHeight="1">
      <c r="A2101" s="14"/>
      <c r="C2101" s="16"/>
      <c r="D2101" s="16"/>
    </row>
    <row r="2102" spans="1:4" ht="17.25" customHeight="1">
      <c r="A2102" s="14"/>
      <c r="C2102" s="16"/>
      <c r="D2102" s="16"/>
    </row>
    <row r="2103" spans="1:4" ht="17.25" customHeight="1">
      <c r="A2103" s="14"/>
      <c r="C2103" s="16"/>
      <c r="D2103" s="16"/>
    </row>
    <row r="2104" spans="1:4" ht="17.25" customHeight="1">
      <c r="A2104" s="14"/>
      <c r="C2104" s="16"/>
      <c r="D2104" s="16"/>
    </row>
    <row r="2105" spans="1:4" ht="17.25" customHeight="1">
      <c r="A2105" s="14"/>
      <c r="C2105" s="16"/>
      <c r="D2105" s="16"/>
    </row>
    <row r="2106" spans="1:4" ht="17.25" customHeight="1">
      <c r="A2106" s="14"/>
      <c r="C2106" s="16"/>
      <c r="D2106" s="16"/>
    </row>
    <row r="2107" spans="1:4" ht="17.25" customHeight="1">
      <c r="A2107" s="14"/>
      <c r="C2107" s="16"/>
      <c r="D2107" s="16"/>
    </row>
    <row r="2108" spans="1:4" ht="17.25" customHeight="1">
      <c r="A2108" s="14"/>
      <c r="C2108" s="16"/>
      <c r="D2108" s="16"/>
    </row>
    <row r="2109" spans="1:4" ht="17.25" customHeight="1">
      <c r="A2109" s="14"/>
      <c r="C2109" s="16"/>
      <c r="D2109" s="16"/>
    </row>
    <row r="2110" spans="1:4" ht="17.25" customHeight="1">
      <c r="A2110" s="14"/>
      <c r="C2110" s="16"/>
      <c r="D2110" s="16"/>
    </row>
    <row r="2111" spans="1:4" ht="17.25" customHeight="1">
      <c r="A2111" s="14"/>
      <c r="C2111" s="16"/>
      <c r="D2111" s="16"/>
    </row>
    <row r="2112" spans="1:4" ht="17.25" customHeight="1">
      <c r="A2112" s="14"/>
      <c r="C2112" s="16"/>
      <c r="D2112" s="16"/>
    </row>
    <row r="2113" spans="1:4" ht="17.25" customHeight="1">
      <c r="A2113" s="14"/>
      <c r="C2113" s="16"/>
      <c r="D2113" s="16"/>
    </row>
    <row r="2114" spans="1:4" ht="17.25" customHeight="1">
      <c r="A2114" s="14"/>
      <c r="C2114" s="16"/>
      <c r="D2114" s="16"/>
    </row>
    <row r="2115" spans="1:4" ht="17.25" customHeight="1">
      <c r="A2115" s="14"/>
      <c r="C2115" s="16"/>
      <c r="D2115" s="16"/>
    </row>
    <row r="2116" spans="1:4" ht="17.25" customHeight="1">
      <c r="A2116" s="14"/>
      <c r="C2116" s="16"/>
      <c r="D2116" s="16"/>
    </row>
    <row r="2117" spans="1:4" ht="17.25" customHeight="1">
      <c r="A2117" s="14"/>
      <c r="C2117" s="16"/>
      <c r="D2117" s="16"/>
    </row>
    <row r="2118" spans="1:4" ht="17.25" customHeight="1">
      <c r="A2118" s="14"/>
      <c r="C2118" s="16"/>
      <c r="D2118" s="16"/>
    </row>
    <row r="2119" spans="1:4" ht="17.25" customHeight="1">
      <c r="A2119" s="14"/>
      <c r="C2119" s="16"/>
      <c r="D2119" s="16"/>
    </row>
    <row r="2120" spans="1:4" ht="17.25" customHeight="1">
      <c r="A2120" s="14"/>
      <c r="C2120" s="16"/>
      <c r="D2120" s="16"/>
    </row>
    <row r="2121" spans="1:4" ht="17.25" customHeight="1">
      <c r="A2121" s="14"/>
      <c r="C2121" s="16"/>
      <c r="D2121" s="16"/>
    </row>
    <row r="2122" spans="1:4" ht="17.25" customHeight="1">
      <c r="A2122" s="14"/>
      <c r="C2122" s="16"/>
      <c r="D2122" s="16"/>
    </row>
    <row r="2123" spans="1:4" ht="17.25" customHeight="1">
      <c r="A2123" s="14"/>
      <c r="C2123" s="16"/>
      <c r="D2123" s="16"/>
    </row>
    <row r="2124" spans="1:4" ht="17.25" customHeight="1">
      <c r="A2124" s="14"/>
      <c r="C2124" s="16"/>
      <c r="D2124" s="16"/>
    </row>
    <row r="2125" spans="1:4" ht="17.25" customHeight="1">
      <c r="A2125" s="14"/>
      <c r="C2125" s="16"/>
      <c r="D2125" s="16"/>
    </row>
    <row r="2126" spans="1:4" ht="17.25" customHeight="1">
      <c r="A2126" s="14"/>
      <c r="C2126" s="16"/>
      <c r="D2126" s="16"/>
    </row>
    <row r="2127" spans="1:4" ht="17.25" customHeight="1">
      <c r="A2127" s="14"/>
      <c r="C2127" s="16"/>
      <c r="D2127" s="16"/>
    </row>
    <row r="2128" spans="1:4" ht="17.25" customHeight="1">
      <c r="A2128" s="14"/>
      <c r="C2128" s="16"/>
      <c r="D2128" s="16"/>
    </row>
    <row r="2129" spans="1:4" ht="17.25" customHeight="1">
      <c r="A2129" s="14"/>
      <c r="C2129" s="16"/>
      <c r="D2129" s="16"/>
    </row>
    <row r="2130" spans="1:4" ht="17.25" customHeight="1">
      <c r="A2130" s="14"/>
      <c r="C2130" s="16"/>
      <c r="D2130" s="16"/>
    </row>
    <row r="2131" spans="1:4" ht="17.25" customHeight="1">
      <c r="A2131" s="14"/>
      <c r="C2131" s="16"/>
      <c r="D2131" s="16"/>
    </row>
    <row r="2132" spans="1:4" ht="17.25" customHeight="1">
      <c r="A2132" s="14"/>
      <c r="C2132" s="16"/>
      <c r="D2132" s="16"/>
    </row>
    <row r="2133" spans="1:4" ht="17.25" customHeight="1">
      <c r="A2133" s="14"/>
      <c r="C2133" s="16"/>
      <c r="D2133" s="16"/>
    </row>
    <row r="2134" spans="1:4" ht="17.25" customHeight="1">
      <c r="A2134" s="14"/>
      <c r="C2134" s="16"/>
      <c r="D2134" s="16"/>
    </row>
    <row r="2135" spans="1:4" ht="17.25" customHeight="1">
      <c r="A2135" s="14"/>
      <c r="C2135" s="16"/>
      <c r="D2135" s="16"/>
    </row>
    <row r="2136" spans="1:4" ht="17.25" customHeight="1">
      <c r="A2136" s="14"/>
      <c r="C2136" s="16"/>
      <c r="D2136" s="16"/>
    </row>
    <row r="2137" spans="1:4" ht="17.25" customHeight="1">
      <c r="A2137" s="14"/>
      <c r="C2137" s="16"/>
      <c r="D2137" s="16"/>
    </row>
    <row r="2138" spans="1:4" ht="17.25" customHeight="1">
      <c r="A2138" s="14"/>
      <c r="C2138" s="16"/>
      <c r="D2138" s="16"/>
    </row>
    <row r="2139" spans="1:4" ht="17.25" customHeight="1">
      <c r="A2139" s="14"/>
      <c r="C2139" s="16"/>
      <c r="D2139" s="16"/>
    </row>
    <row r="2140" spans="1:4" ht="17.25" customHeight="1">
      <c r="A2140" s="14"/>
      <c r="C2140" s="16"/>
      <c r="D2140" s="16"/>
    </row>
    <row r="2141" spans="1:4" ht="17.25" customHeight="1">
      <c r="A2141" s="14"/>
      <c r="C2141" s="16"/>
      <c r="D2141" s="16"/>
    </row>
    <row r="2142" spans="1:4" ht="17.25" customHeight="1">
      <c r="A2142" s="14"/>
      <c r="C2142" s="16"/>
      <c r="D2142" s="16"/>
    </row>
    <row r="2143" spans="1:4" ht="17.25" customHeight="1">
      <c r="A2143" s="14"/>
      <c r="C2143" s="16"/>
      <c r="D2143" s="16"/>
    </row>
    <row r="2144" spans="1:4" ht="17.25" customHeight="1">
      <c r="A2144" s="14"/>
      <c r="C2144" s="16"/>
      <c r="D2144" s="16"/>
    </row>
    <row r="2145" spans="1:4" ht="17.25" customHeight="1">
      <c r="A2145" s="14"/>
      <c r="C2145" s="16"/>
      <c r="D2145" s="16"/>
    </row>
    <row r="2146" spans="1:4" ht="17.25" customHeight="1">
      <c r="A2146" s="14"/>
      <c r="C2146" s="16"/>
      <c r="D2146" s="16"/>
    </row>
    <row r="2147" spans="1:4" ht="17.25" customHeight="1">
      <c r="A2147" s="14"/>
      <c r="C2147" s="16"/>
      <c r="D2147" s="16"/>
    </row>
    <row r="2148" spans="1:4" ht="17.25" customHeight="1">
      <c r="A2148" s="14"/>
      <c r="C2148" s="16"/>
      <c r="D2148" s="16"/>
    </row>
    <row r="2149" spans="1:4" ht="17.25" customHeight="1">
      <c r="A2149" s="14"/>
      <c r="C2149" s="16"/>
      <c r="D2149" s="16"/>
    </row>
    <row r="2150" spans="1:4" ht="17.25" customHeight="1">
      <c r="A2150" s="14"/>
      <c r="C2150" s="16"/>
      <c r="D2150" s="16"/>
    </row>
    <row r="2151" spans="1:4" ht="17.25" customHeight="1">
      <c r="A2151" s="14"/>
      <c r="C2151" s="16"/>
      <c r="D2151" s="16"/>
    </row>
    <row r="2152" spans="1:4" ht="17.25" customHeight="1">
      <c r="A2152" s="14"/>
      <c r="C2152" s="16"/>
      <c r="D2152" s="16"/>
    </row>
    <row r="2153" spans="1:4" ht="17.25" customHeight="1">
      <c r="A2153" s="14"/>
      <c r="C2153" s="16"/>
      <c r="D2153" s="16"/>
    </row>
    <row r="2154" spans="1:4" ht="17.25" customHeight="1">
      <c r="A2154" s="14"/>
      <c r="C2154" s="16"/>
      <c r="D2154" s="16"/>
    </row>
    <row r="2155" spans="1:4" ht="17.25" customHeight="1">
      <c r="A2155" s="14"/>
      <c r="C2155" s="16"/>
      <c r="D2155" s="16"/>
    </row>
    <row r="2156" spans="1:4" ht="17.25" customHeight="1">
      <c r="A2156" s="14"/>
      <c r="C2156" s="16"/>
      <c r="D2156" s="16"/>
    </row>
    <row r="2157" spans="1:4" ht="17.25" customHeight="1">
      <c r="A2157" s="14"/>
      <c r="C2157" s="16"/>
      <c r="D2157" s="16"/>
    </row>
    <row r="2158" spans="1:4" ht="17.25" customHeight="1">
      <c r="A2158" s="14"/>
      <c r="C2158" s="16"/>
      <c r="D2158" s="16"/>
    </row>
    <row r="2159" spans="1:4" ht="17.25" customHeight="1">
      <c r="A2159" s="14"/>
      <c r="C2159" s="16"/>
      <c r="D2159" s="16"/>
    </row>
    <row r="2160" spans="1:4" ht="17.25" customHeight="1">
      <c r="A2160" s="14"/>
      <c r="C2160" s="16"/>
      <c r="D2160" s="16"/>
    </row>
    <row r="2161" spans="1:4" ht="17.25" customHeight="1">
      <c r="A2161" s="14"/>
      <c r="C2161" s="16"/>
      <c r="D2161" s="16"/>
    </row>
    <row r="2162" spans="1:4" ht="17.25" customHeight="1">
      <c r="A2162" s="14"/>
      <c r="C2162" s="16"/>
      <c r="D2162" s="16"/>
    </row>
    <row r="2163" spans="1:4" ht="17.25" customHeight="1">
      <c r="A2163" s="14"/>
      <c r="C2163" s="16"/>
      <c r="D2163" s="16"/>
    </row>
    <row r="2164" spans="1:4" ht="17.25" customHeight="1">
      <c r="A2164" s="14"/>
      <c r="C2164" s="16"/>
      <c r="D2164" s="16"/>
    </row>
    <row r="2165" spans="1:4" ht="17.25" customHeight="1">
      <c r="A2165" s="14"/>
      <c r="C2165" s="16"/>
      <c r="D2165" s="16"/>
    </row>
    <row r="2166" spans="1:4" ht="17.25" customHeight="1">
      <c r="A2166" s="14"/>
      <c r="C2166" s="16"/>
      <c r="D2166" s="16"/>
    </row>
    <row r="2167" spans="1:4" ht="17.25" customHeight="1">
      <c r="A2167" s="14"/>
      <c r="C2167" s="16"/>
      <c r="D2167" s="16"/>
    </row>
    <row r="2168" spans="1:4" ht="17.25" customHeight="1">
      <c r="A2168" s="14"/>
      <c r="C2168" s="16"/>
      <c r="D2168" s="16"/>
    </row>
    <row r="2169" spans="1:4" ht="17.25" customHeight="1">
      <c r="A2169" s="14"/>
      <c r="C2169" s="16"/>
      <c r="D2169" s="16"/>
    </row>
    <row r="2170" spans="1:4" ht="17.25" customHeight="1">
      <c r="A2170" s="14"/>
      <c r="C2170" s="16"/>
      <c r="D2170" s="16"/>
    </row>
    <row r="2171" spans="1:4" ht="17.25" customHeight="1">
      <c r="A2171" s="14"/>
      <c r="C2171" s="16"/>
      <c r="D2171" s="16"/>
    </row>
    <row r="2172" spans="1:4" ht="17.25" customHeight="1">
      <c r="A2172" s="14"/>
      <c r="C2172" s="16"/>
      <c r="D2172" s="16"/>
    </row>
    <row r="2173" spans="1:4" ht="17.25" customHeight="1">
      <c r="A2173" s="14"/>
      <c r="C2173" s="16"/>
      <c r="D2173" s="16"/>
    </row>
    <row r="2174" spans="1:4" ht="17.25" customHeight="1">
      <c r="A2174" s="14"/>
      <c r="C2174" s="16"/>
      <c r="D2174" s="16"/>
    </row>
    <row r="2175" spans="1:4" ht="17.25" customHeight="1">
      <c r="A2175" s="14"/>
      <c r="C2175" s="16"/>
      <c r="D2175" s="16"/>
    </row>
    <row r="2176" spans="1:4" ht="17.25" customHeight="1">
      <c r="A2176" s="14"/>
      <c r="C2176" s="16"/>
      <c r="D2176" s="16"/>
    </row>
    <row r="2177" spans="1:4" ht="17.25" customHeight="1">
      <c r="A2177" s="14"/>
      <c r="C2177" s="16"/>
      <c r="D2177" s="16"/>
    </row>
    <row r="2178" spans="1:4" ht="17.25" customHeight="1">
      <c r="A2178" s="14"/>
      <c r="C2178" s="16"/>
      <c r="D2178" s="16"/>
    </row>
    <row r="2179" spans="1:4" ht="17.25" customHeight="1">
      <c r="A2179" s="14"/>
      <c r="C2179" s="16"/>
      <c r="D2179" s="16"/>
    </row>
    <row r="2180" spans="1:4" ht="17.25" customHeight="1">
      <c r="A2180" s="14"/>
      <c r="C2180" s="16"/>
      <c r="D2180" s="16"/>
    </row>
    <row r="2181" spans="1:4" ht="17.25" customHeight="1">
      <c r="A2181" s="14"/>
      <c r="C2181" s="16"/>
      <c r="D2181" s="16"/>
    </row>
    <row r="2182" spans="1:4" ht="17.25" customHeight="1">
      <c r="A2182" s="14"/>
      <c r="C2182" s="16"/>
      <c r="D2182" s="16"/>
    </row>
    <row r="2183" spans="1:4" ht="17.25" customHeight="1">
      <c r="A2183" s="14"/>
      <c r="C2183" s="16"/>
      <c r="D2183" s="16"/>
    </row>
    <row r="2184" spans="1:4" ht="17.25" customHeight="1">
      <c r="A2184" s="14"/>
      <c r="C2184" s="16"/>
      <c r="D2184" s="16"/>
    </row>
    <row r="2185" spans="1:4" ht="17.25" customHeight="1">
      <c r="A2185" s="14"/>
      <c r="C2185" s="16"/>
      <c r="D2185" s="16"/>
    </row>
    <row r="2186" spans="1:4" ht="17.25" customHeight="1">
      <c r="A2186" s="14"/>
      <c r="C2186" s="16"/>
      <c r="D2186" s="16"/>
    </row>
    <row r="2187" spans="1:4" ht="17.25" customHeight="1">
      <c r="A2187" s="14"/>
      <c r="C2187" s="16"/>
      <c r="D2187" s="16"/>
    </row>
    <row r="2188" spans="1:4" ht="17.25" customHeight="1">
      <c r="A2188" s="14"/>
      <c r="C2188" s="16"/>
      <c r="D2188" s="16"/>
    </row>
    <row r="2189" spans="1:4" ht="17.25" customHeight="1">
      <c r="A2189" s="14"/>
      <c r="C2189" s="16"/>
      <c r="D2189" s="16"/>
    </row>
    <row r="2190" spans="1:4" ht="17.25" customHeight="1">
      <c r="A2190" s="14"/>
      <c r="C2190" s="16"/>
      <c r="D2190" s="16"/>
    </row>
    <row r="2191" spans="1:4" ht="17.25" customHeight="1">
      <c r="A2191" s="14"/>
      <c r="C2191" s="16"/>
      <c r="D2191" s="16"/>
    </row>
    <row r="2192" spans="1:4" ht="17.25" customHeight="1">
      <c r="A2192" s="14"/>
      <c r="C2192" s="16"/>
      <c r="D2192" s="16"/>
    </row>
    <row r="2193" spans="1:4" ht="17.25" customHeight="1">
      <c r="A2193" s="14"/>
      <c r="C2193" s="16"/>
      <c r="D2193" s="16"/>
    </row>
    <row r="2194" spans="1:4" ht="17.25" customHeight="1">
      <c r="A2194" s="14"/>
      <c r="C2194" s="16"/>
      <c r="D2194" s="16"/>
    </row>
    <row r="2195" spans="1:4" ht="17.25" customHeight="1">
      <c r="A2195" s="14"/>
      <c r="C2195" s="16"/>
      <c r="D2195" s="16"/>
    </row>
    <row r="2196" spans="1:4" ht="17.25" customHeight="1">
      <c r="A2196" s="14"/>
      <c r="C2196" s="16"/>
      <c r="D2196" s="16"/>
    </row>
    <row r="2197" spans="1:4" ht="17.25" customHeight="1">
      <c r="A2197" s="14"/>
      <c r="C2197" s="16"/>
      <c r="D2197" s="16"/>
    </row>
    <row r="2198" spans="1:4" ht="17.25" customHeight="1">
      <c r="A2198" s="14"/>
      <c r="C2198" s="16"/>
      <c r="D2198" s="16"/>
    </row>
    <row r="2199" spans="1:4" ht="17.25" customHeight="1">
      <c r="A2199" s="14"/>
      <c r="C2199" s="16"/>
      <c r="D2199" s="16"/>
    </row>
    <row r="2200" spans="1:4" ht="17.25" customHeight="1">
      <c r="A2200" s="14"/>
      <c r="C2200" s="16"/>
      <c r="D2200" s="16"/>
    </row>
    <row r="2201" spans="1:4" ht="17.25" customHeight="1">
      <c r="A2201" s="14"/>
      <c r="C2201" s="16"/>
      <c r="D2201" s="16"/>
    </row>
    <row r="2202" spans="1:4" ht="17.25" customHeight="1">
      <c r="A2202" s="14"/>
      <c r="C2202" s="16"/>
      <c r="D2202" s="16"/>
    </row>
    <row r="2203" spans="1:4" ht="17.25" customHeight="1">
      <c r="A2203" s="14"/>
      <c r="C2203" s="16"/>
      <c r="D2203" s="16"/>
    </row>
    <row r="2204" spans="1:4" ht="17.25" customHeight="1">
      <c r="A2204" s="14"/>
      <c r="C2204" s="16"/>
      <c r="D2204" s="16"/>
    </row>
    <row r="2205" spans="1:4" ht="17.25" customHeight="1">
      <c r="A2205" s="14"/>
      <c r="C2205" s="16"/>
      <c r="D2205" s="16"/>
    </row>
    <row r="2206" spans="1:4" ht="17.25" customHeight="1">
      <c r="A2206" s="14"/>
      <c r="C2206" s="16"/>
      <c r="D2206" s="16"/>
    </row>
    <row r="2207" spans="1:4" ht="17.25" customHeight="1">
      <c r="A2207" s="14"/>
      <c r="C2207" s="16"/>
      <c r="D2207" s="16"/>
    </row>
    <row r="2208" spans="1:4" ht="17.25" customHeight="1">
      <c r="A2208" s="14"/>
      <c r="C2208" s="16"/>
      <c r="D2208" s="16"/>
    </row>
    <row r="2209" spans="1:4" ht="17.25" customHeight="1">
      <c r="A2209" s="14"/>
      <c r="C2209" s="16"/>
      <c r="D2209" s="16"/>
    </row>
    <row r="2210" spans="1:4" ht="17.25" customHeight="1">
      <c r="A2210" s="14"/>
      <c r="C2210" s="16"/>
      <c r="D2210" s="16"/>
    </row>
    <row r="2211" spans="1:4" ht="17.25" customHeight="1">
      <c r="A2211" s="14"/>
      <c r="C2211" s="16"/>
      <c r="D2211" s="16"/>
    </row>
    <row r="2212" spans="1:4" ht="17.25" customHeight="1">
      <c r="A2212" s="14"/>
      <c r="C2212" s="16"/>
      <c r="D2212" s="16"/>
    </row>
    <row r="2213" spans="1:4" ht="17.25" customHeight="1">
      <c r="A2213" s="14"/>
      <c r="C2213" s="16"/>
      <c r="D2213" s="16"/>
    </row>
    <row r="2214" spans="1:4" ht="17.25" customHeight="1">
      <c r="A2214" s="14"/>
      <c r="C2214" s="16"/>
      <c r="D2214" s="16"/>
    </row>
    <row r="2215" spans="1:4" ht="17.25" customHeight="1">
      <c r="A2215" s="14"/>
      <c r="C2215" s="16"/>
      <c r="D2215" s="16"/>
    </row>
    <row r="2216" spans="1:4" ht="17.25" customHeight="1">
      <c r="A2216" s="14"/>
      <c r="C2216" s="16"/>
      <c r="D2216" s="16"/>
    </row>
    <row r="2217" spans="1:4" ht="17.25" customHeight="1">
      <c r="A2217" s="14"/>
      <c r="C2217" s="16"/>
      <c r="D2217" s="16"/>
    </row>
    <row r="2218" spans="1:4" ht="17.25" customHeight="1">
      <c r="A2218" s="14"/>
      <c r="C2218" s="16"/>
      <c r="D2218" s="16"/>
    </row>
    <row r="2219" spans="1:4" ht="17.25" customHeight="1">
      <c r="A2219" s="14"/>
      <c r="C2219" s="16"/>
      <c r="D2219" s="16"/>
    </row>
    <row r="2220" spans="1:4" ht="17.25" customHeight="1">
      <c r="A2220" s="14"/>
      <c r="C2220" s="16"/>
      <c r="D2220" s="16"/>
    </row>
    <row r="2221" spans="1:4" ht="17.25" customHeight="1">
      <c r="A2221" s="14"/>
      <c r="C2221" s="16"/>
      <c r="D2221" s="16"/>
    </row>
    <row r="2222" spans="1:4" ht="17.25" customHeight="1">
      <c r="A2222" s="14"/>
      <c r="C2222" s="16"/>
      <c r="D2222" s="16"/>
    </row>
    <row r="2223" spans="1:4" ht="17.25" customHeight="1">
      <c r="A2223" s="14"/>
      <c r="C2223" s="16"/>
      <c r="D2223" s="16"/>
    </row>
    <row r="2224" spans="1:4" ht="17.25" customHeight="1">
      <c r="A2224" s="14"/>
      <c r="C2224" s="16"/>
      <c r="D2224" s="16"/>
    </row>
    <row r="2225" spans="1:4" ht="17.25" customHeight="1">
      <c r="A2225" s="14"/>
      <c r="C2225" s="16"/>
      <c r="D2225" s="16"/>
    </row>
    <row r="2226" spans="1:4" ht="17.25" customHeight="1">
      <c r="A2226" s="14"/>
      <c r="C2226" s="16"/>
      <c r="D2226" s="16"/>
    </row>
    <row r="2227" spans="1:4" ht="17.25" customHeight="1">
      <c r="A2227" s="14"/>
      <c r="C2227" s="16"/>
      <c r="D2227" s="16"/>
    </row>
    <row r="2228" spans="1:4" ht="17.25" customHeight="1">
      <c r="A2228" s="14"/>
      <c r="C2228" s="16"/>
      <c r="D2228" s="16"/>
    </row>
    <row r="2229" spans="1:4" ht="17.25" customHeight="1">
      <c r="A2229" s="14"/>
      <c r="C2229" s="16"/>
      <c r="D2229" s="16"/>
    </row>
    <row r="2230" spans="1:4" ht="17.25" customHeight="1">
      <c r="A2230" s="14"/>
      <c r="C2230" s="16"/>
      <c r="D2230" s="16"/>
    </row>
    <row r="2231" spans="1:4" ht="17.25" customHeight="1">
      <c r="A2231" s="14"/>
      <c r="C2231" s="16"/>
      <c r="D2231" s="16"/>
    </row>
    <row r="2232" spans="1:4" ht="17.25" customHeight="1">
      <c r="A2232" s="14"/>
      <c r="C2232" s="16"/>
      <c r="D2232" s="16"/>
    </row>
    <row r="2233" spans="1:4" ht="17.25" customHeight="1">
      <c r="A2233" s="14"/>
      <c r="C2233" s="16"/>
      <c r="D2233" s="16"/>
    </row>
    <row r="2234" spans="1:4" ht="17.25" customHeight="1">
      <c r="A2234" s="14"/>
      <c r="C2234" s="16"/>
      <c r="D2234" s="16"/>
    </row>
    <row r="2235" spans="1:4" ht="17.25" customHeight="1">
      <c r="A2235" s="14"/>
      <c r="C2235" s="16"/>
      <c r="D2235" s="16"/>
    </row>
    <row r="2236" spans="1:4" ht="17.25" customHeight="1">
      <c r="A2236" s="14"/>
      <c r="C2236" s="16"/>
      <c r="D2236" s="16"/>
    </row>
    <row r="2237" spans="1:4" ht="17.25" customHeight="1">
      <c r="A2237" s="14"/>
      <c r="C2237" s="16"/>
      <c r="D2237" s="16"/>
    </row>
    <row r="2238" spans="1:4" ht="17.25" customHeight="1">
      <c r="A2238" s="14"/>
      <c r="C2238" s="16"/>
      <c r="D2238" s="16"/>
    </row>
    <row r="2239" spans="1:4" ht="17.25" customHeight="1">
      <c r="A2239" s="14"/>
      <c r="C2239" s="16"/>
      <c r="D2239" s="16"/>
    </row>
    <row r="2240" spans="1:4" ht="17.25" customHeight="1">
      <c r="A2240" s="14"/>
      <c r="C2240" s="16"/>
      <c r="D2240" s="16"/>
    </row>
    <row r="2241" spans="1:4" ht="17.25" customHeight="1">
      <c r="A2241" s="14"/>
      <c r="C2241" s="16"/>
      <c r="D2241" s="16"/>
    </row>
    <row r="2242" spans="1:4" ht="17.25" customHeight="1">
      <c r="A2242" s="14"/>
      <c r="C2242" s="16"/>
      <c r="D2242" s="16"/>
    </row>
    <row r="2243" spans="1:4" ht="17.25" customHeight="1">
      <c r="A2243" s="14"/>
      <c r="C2243" s="16"/>
      <c r="D2243" s="16"/>
    </row>
    <row r="2244" spans="1:4" ht="17.25" customHeight="1">
      <c r="A2244" s="14"/>
      <c r="C2244" s="16"/>
      <c r="D2244" s="16"/>
    </row>
    <row r="2245" spans="1:4" ht="17.25" customHeight="1">
      <c r="A2245" s="14"/>
      <c r="C2245" s="16"/>
      <c r="D2245" s="16"/>
    </row>
    <row r="2246" spans="1:4" ht="17.25" customHeight="1">
      <c r="A2246" s="14"/>
      <c r="C2246" s="16"/>
      <c r="D2246" s="16"/>
    </row>
    <row r="2247" spans="1:4" ht="17.25" customHeight="1">
      <c r="A2247" s="14"/>
      <c r="C2247" s="16"/>
      <c r="D2247" s="16"/>
    </row>
    <row r="2248" spans="1:4" ht="17.25" customHeight="1">
      <c r="A2248" s="14"/>
      <c r="C2248" s="16"/>
      <c r="D2248" s="16"/>
    </row>
    <row r="2249" spans="1:4" ht="17.25" customHeight="1">
      <c r="A2249" s="14"/>
      <c r="C2249" s="16"/>
      <c r="D2249" s="16"/>
    </row>
    <row r="2250" spans="1:4" ht="17.25" customHeight="1">
      <c r="A2250" s="14"/>
      <c r="C2250" s="16"/>
      <c r="D2250" s="16"/>
    </row>
    <row r="2251" spans="1:4" ht="17.25" customHeight="1">
      <c r="A2251" s="14"/>
      <c r="C2251" s="16"/>
      <c r="D2251" s="16"/>
    </row>
    <row r="2252" spans="1:4" ht="17.25" customHeight="1">
      <c r="A2252" s="14"/>
      <c r="C2252" s="16"/>
      <c r="D2252" s="16"/>
    </row>
    <row r="2253" spans="1:4" ht="17.25" customHeight="1">
      <c r="A2253" s="14"/>
      <c r="C2253" s="16"/>
      <c r="D2253" s="16"/>
    </row>
    <row r="2254" spans="1:4" ht="17.25" customHeight="1">
      <c r="A2254" s="14"/>
      <c r="C2254" s="16"/>
      <c r="D2254" s="16"/>
    </row>
    <row r="2255" spans="1:4" ht="17.25" customHeight="1">
      <c r="A2255" s="14"/>
      <c r="C2255" s="16"/>
      <c r="D2255" s="16"/>
    </row>
    <row r="2256" spans="1:4" ht="17.25" customHeight="1">
      <c r="A2256" s="14"/>
      <c r="C2256" s="16"/>
      <c r="D2256" s="16"/>
    </row>
    <row r="2257" spans="1:4" ht="17.25" customHeight="1">
      <c r="A2257" s="14"/>
      <c r="C2257" s="16"/>
      <c r="D2257" s="16"/>
    </row>
    <row r="2258" spans="1:4" ht="17.25" customHeight="1">
      <c r="A2258" s="14"/>
      <c r="C2258" s="16"/>
      <c r="D2258" s="16"/>
    </row>
    <row r="2259" spans="1:4" ht="17.25" customHeight="1">
      <c r="A2259" s="14"/>
      <c r="C2259" s="16"/>
      <c r="D2259" s="16"/>
    </row>
    <row r="2260" spans="1:4" ht="17.25" customHeight="1">
      <c r="A2260" s="14"/>
      <c r="C2260" s="16"/>
      <c r="D2260" s="16"/>
    </row>
    <row r="2261" spans="1:4" ht="17.25" customHeight="1">
      <c r="A2261" s="14"/>
      <c r="C2261" s="16"/>
      <c r="D2261" s="16"/>
    </row>
    <row r="2262" spans="1:4" ht="17.25" customHeight="1">
      <c r="A2262" s="14"/>
      <c r="C2262" s="16"/>
      <c r="D2262" s="16"/>
    </row>
  </sheetData>
  <autoFilter ref="A4:G5" xr:uid="{00000000-0001-0000-0100-000000000000}"/>
  <mergeCells count="8">
    <mergeCell ref="A3:G3"/>
    <mergeCell ref="A4:A5"/>
    <mergeCell ref="B4:B5"/>
    <mergeCell ref="C4:C5"/>
    <mergeCell ref="D4:D5"/>
    <mergeCell ref="E4:E5"/>
    <mergeCell ref="F4:F5"/>
    <mergeCell ref="G4:G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heetPr>
  <dimension ref="A1:F5"/>
  <sheetViews>
    <sheetView zoomScale="130" zoomScaleNormal="130" workbookViewId="0"/>
  </sheetViews>
  <sheetFormatPr baseColWidth="10" defaultColWidth="8.83203125" defaultRowHeight="15"/>
  <cols>
    <col min="1" max="1" width="3.5" style="36" bestFit="1" customWidth="1"/>
    <col min="2" max="2" width="18.33203125" style="1" bestFit="1" customWidth="1"/>
    <col min="3" max="3" width="12.6640625" style="23" bestFit="1" customWidth="1"/>
    <col min="4" max="4" width="16" style="23" bestFit="1" customWidth="1"/>
    <col min="5" max="6" width="16.5" style="24" bestFit="1" customWidth="1"/>
  </cols>
  <sheetData>
    <row r="1" spans="1:6" ht="17.25" customHeight="1">
      <c r="A1" s="34"/>
      <c r="B1" s="15"/>
      <c r="C1" s="16"/>
      <c r="D1" s="16"/>
      <c r="E1" s="17"/>
      <c r="F1" s="17"/>
    </row>
    <row r="2" spans="1:6" ht="17.25" customHeight="1">
      <c r="A2" s="34"/>
      <c r="B2" s="15"/>
      <c r="C2" s="16"/>
      <c r="D2" s="16"/>
      <c r="E2" s="17"/>
      <c r="F2" s="17"/>
    </row>
    <row r="3" spans="1:6" s="18" customFormat="1" ht="24">
      <c r="A3" s="92" t="s">
        <v>120</v>
      </c>
      <c r="B3" s="93"/>
      <c r="C3" s="93"/>
      <c r="D3" s="93"/>
      <c r="E3" s="93"/>
      <c r="F3" s="93"/>
    </row>
    <row r="4" spans="1:6" s="18" customFormat="1" ht="17">
      <c r="A4" s="44" t="s">
        <v>100</v>
      </c>
      <c r="B4" s="45" t="s">
        <v>101</v>
      </c>
      <c r="C4" s="45" t="s">
        <v>102</v>
      </c>
      <c r="D4" s="45" t="s">
        <v>103</v>
      </c>
      <c r="E4" s="45" t="s">
        <v>104</v>
      </c>
      <c r="F4" s="45" t="s">
        <v>104</v>
      </c>
    </row>
    <row r="5" spans="1:6" ht="17.25" customHeight="1">
      <c r="A5" s="35">
        <v>1</v>
      </c>
      <c r="B5" s="3" t="s">
        <v>105</v>
      </c>
      <c r="C5" s="20" t="s">
        <v>106</v>
      </c>
      <c r="D5" s="20" t="s">
        <v>107</v>
      </c>
      <c r="E5" s="21" t="s">
        <v>108</v>
      </c>
      <c r="F5" s="21" t="s">
        <v>108</v>
      </c>
    </row>
  </sheetData>
  <autoFilter ref="A4:F4" xr:uid="{00000000-0001-0000-0200-000000000000}"/>
  <mergeCells count="1">
    <mergeCell ref="A3:F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outlinePr summaryBelow="0"/>
  </sheetPr>
  <dimension ref="A1:J6"/>
  <sheetViews>
    <sheetView zoomScale="130" zoomScaleNormal="130" workbookViewId="0">
      <pane ySplit="5" topLeftCell="A6" activePane="bottomLeft" state="frozen"/>
      <selection pane="bottomLeft"/>
    </sheetView>
  </sheetViews>
  <sheetFormatPr baseColWidth="10" defaultColWidth="8.83203125" defaultRowHeight="15"/>
  <cols>
    <col min="1" max="1" width="5.1640625" style="22" bestFit="1" customWidth="1"/>
    <col min="2" max="2" width="48.1640625" style="1" bestFit="1" customWidth="1"/>
    <col min="3" max="4" width="20.6640625" style="23" bestFit="1" customWidth="1"/>
    <col min="5" max="5" width="23.83203125" style="1" bestFit="1" customWidth="1"/>
    <col min="6" max="7" width="15.33203125" style="24" bestFit="1" customWidth="1"/>
    <col min="8" max="9" width="15.33203125" style="31" bestFit="1" customWidth="1"/>
    <col min="10" max="10" width="36.6640625" style="24" customWidth="1"/>
  </cols>
  <sheetData>
    <row r="1" spans="1:10" ht="17.25" customHeight="1">
      <c r="A1" s="14"/>
      <c r="B1" s="15"/>
      <c r="C1" s="16"/>
      <c r="D1" s="16"/>
      <c r="E1" s="15"/>
      <c r="F1" s="17"/>
      <c r="G1" s="17"/>
      <c r="H1" s="25"/>
      <c r="I1" s="25"/>
      <c r="J1" s="17"/>
    </row>
    <row r="2" spans="1:10" ht="17.25" customHeight="1">
      <c r="A2" s="14"/>
      <c r="B2" s="15"/>
      <c r="C2" s="16"/>
      <c r="D2" s="16"/>
      <c r="E2" s="15"/>
      <c r="F2" s="17"/>
      <c r="G2" s="17"/>
      <c r="H2" s="25"/>
      <c r="I2" s="25"/>
      <c r="J2" s="17"/>
    </row>
    <row r="3" spans="1:10" s="18" customFormat="1" ht="24">
      <c r="A3" s="92" t="s">
        <v>114</v>
      </c>
      <c r="B3" s="93"/>
      <c r="C3" s="93"/>
      <c r="D3" s="93"/>
      <c r="E3" s="93"/>
      <c r="F3" s="93"/>
      <c r="G3" s="93"/>
      <c r="H3" s="92"/>
      <c r="I3" s="92"/>
      <c r="J3" s="93"/>
    </row>
    <row r="4" spans="1:10" s="18" customFormat="1" ht="17.25" customHeight="1">
      <c r="A4" s="94" t="s">
        <v>100</v>
      </c>
      <c r="B4" s="96" t="s">
        <v>101</v>
      </c>
      <c r="C4" s="96" t="s">
        <v>102</v>
      </c>
      <c r="D4" s="96" t="s">
        <v>103</v>
      </c>
      <c r="E4" s="96" t="s">
        <v>104</v>
      </c>
      <c r="F4" s="96" t="s">
        <v>12</v>
      </c>
      <c r="G4" s="96" t="s">
        <v>115</v>
      </c>
      <c r="H4" s="98" t="s">
        <v>116</v>
      </c>
      <c r="I4" s="98"/>
      <c r="J4" s="96" t="s">
        <v>117</v>
      </c>
    </row>
    <row r="5" spans="1:10" ht="17.25" customHeight="1">
      <c r="A5" s="95"/>
      <c r="B5" s="97"/>
      <c r="C5" s="97"/>
      <c r="D5" s="97"/>
      <c r="E5" s="97"/>
      <c r="F5" s="97"/>
      <c r="G5" s="97"/>
      <c r="H5" s="46" t="s">
        <v>118</v>
      </c>
      <c r="I5" s="46" t="s">
        <v>119</v>
      </c>
      <c r="J5" s="97"/>
    </row>
    <row r="6" spans="1:10" ht="18.75" customHeight="1">
      <c r="A6" s="19"/>
      <c r="B6" s="3"/>
      <c r="C6" s="20"/>
      <c r="D6" s="20"/>
      <c r="E6" s="3"/>
      <c r="F6" s="21"/>
      <c r="G6" s="21"/>
      <c r="H6" s="33"/>
      <c r="I6" s="33"/>
      <c r="J6" s="21"/>
    </row>
  </sheetData>
  <autoFilter ref="A5:J5" xr:uid="{00000000-0001-0000-0300-000000000000}"/>
  <mergeCells count="10">
    <mergeCell ref="A3:J3"/>
    <mergeCell ref="A4:A5"/>
    <mergeCell ref="B4:B5"/>
    <mergeCell ref="C4:C5"/>
    <mergeCell ref="D4:D5"/>
    <mergeCell ref="E4:E5"/>
    <mergeCell ref="F4:F5"/>
    <mergeCell ref="G4:G5"/>
    <mergeCell ref="H4:I4"/>
    <mergeCell ref="J4:J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outlinePr summaryBelow="0"/>
  </sheetPr>
  <dimension ref="A1:K6"/>
  <sheetViews>
    <sheetView zoomScale="130" zoomScaleNormal="130" workbookViewId="0"/>
  </sheetViews>
  <sheetFormatPr baseColWidth="10" defaultColWidth="8.83203125" defaultRowHeight="15"/>
  <cols>
    <col min="1" max="1" width="8.5" style="31" bestFit="1" customWidth="1"/>
    <col min="2" max="2" width="40.5" style="24" bestFit="1" customWidth="1"/>
    <col min="3" max="5" width="20.33203125" style="32" bestFit="1" customWidth="1"/>
    <col min="6" max="7" width="10.83203125" style="24" bestFit="1" customWidth="1"/>
    <col min="8" max="8" width="17.33203125" style="31" bestFit="1" customWidth="1"/>
    <col min="9" max="11" width="12.5" style="18" bestFit="1" customWidth="1"/>
  </cols>
  <sheetData>
    <row r="1" spans="1:11" ht="17.25" customHeight="1">
      <c r="A1" s="25"/>
      <c r="B1" s="17"/>
      <c r="C1" s="26"/>
      <c r="D1" s="26"/>
      <c r="E1" s="26"/>
      <c r="F1" s="17"/>
      <c r="G1" s="17"/>
      <c r="H1" s="25"/>
    </row>
    <row r="2" spans="1:11" ht="17.25" customHeight="1">
      <c r="A2" s="25"/>
      <c r="B2" s="17"/>
      <c r="C2" s="26"/>
      <c r="D2" s="26"/>
      <c r="E2" s="26"/>
      <c r="F2" s="17"/>
      <c r="G2" s="17"/>
      <c r="H2" s="25"/>
    </row>
    <row r="3" spans="1:11" s="18" customFormat="1" ht="24">
      <c r="A3" s="99" t="s">
        <v>110</v>
      </c>
      <c r="B3" s="100"/>
      <c r="C3" s="100"/>
      <c r="D3" s="100"/>
      <c r="E3" s="100"/>
      <c r="F3" s="100"/>
      <c r="G3" s="100"/>
      <c r="H3" s="99"/>
      <c r="I3" s="27"/>
      <c r="J3" s="27"/>
      <c r="K3" s="27"/>
    </row>
    <row r="4" spans="1:11" ht="17.25" customHeight="1">
      <c r="A4" s="101" t="s">
        <v>100</v>
      </c>
      <c r="B4" s="102" t="s">
        <v>101</v>
      </c>
      <c r="C4" s="103" t="s">
        <v>102</v>
      </c>
      <c r="D4" s="96" t="s">
        <v>103</v>
      </c>
      <c r="E4" s="96" t="s">
        <v>111</v>
      </c>
      <c r="F4" s="104" t="s">
        <v>12</v>
      </c>
      <c r="G4" s="96" t="s">
        <v>112</v>
      </c>
      <c r="H4" s="101" t="s">
        <v>113</v>
      </c>
    </row>
    <row r="5" spans="1:11" ht="17.25" customHeight="1">
      <c r="A5" s="101"/>
      <c r="B5" s="102"/>
      <c r="C5" s="103"/>
      <c r="D5" s="97"/>
      <c r="E5" s="97"/>
      <c r="F5" s="104"/>
      <c r="G5" s="97"/>
      <c r="H5" s="101"/>
    </row>
    <row r="6" spans="1:11" ht="17.25" customHeight="1">
      <c r="A6" s="28"/>
      <c r="B6" s="29"/>
      <c r="C6" s="30"/>
      <c r="D6" s="30"/>
      <c r="E6" s="30"/>
      <c r="F6" s="29"/>
      <c r="G6" s="29"/>
      <c r="H6" s="28"/>
    </row>
  </sheetData>
  <autoFilter ref="A4:H5" xr:uid="{00000000-0001-0000-0400-000000000000}"/>
  <mergeCells count="9">
    <mergeCell ref="A3:H3"/>
    <mergeCell ref="A4:A5"/>
    <mergeCell ref="B4:B5"/>
    <mergeCell ref="C4:C5"/>
    <mergeCell ref="D4:D5"/>
    <mergeCell ref="E4:E5"/>
    <mergeCell ref="F4:F5"/>
    <mergeCell ref="G4:G5"/>
    <mergeCell ref="H4:H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outlinePr summaryBelow="0"/>
  </sheetPr>
  <dimension ref="A1:E5"/>
  <sheetViews>
    <sheetView zoomScale="130" zoomScaleNormal="130" workbookViewId="0">
      <selection activeCell="A4" sqref="A4:E4"/>
    </sheetView>
  </sheetViews>
  <sheetFormatPr baseColWidth="10" defaultColWidth="8.83203125" defaultRowHeight="15"/>
  <cols>
    <col min="1" max="1" width="12.5" style="22" bestFit="1" customWidth="1"/>
    <col min="2" max="2" width="18.5" style="1" bestFit="1" customWidth="1"/>
    <col min="3" max="3" width="13" style="23" bestFit="1" customWidth="1"/>
    <col min="4" max="4" width="16" style="23" bestFit="1" customWidth="1"/>
    <col min="5" max="5" width="16.5" style="24" bestFit="1" customWidth="1"/>
  </cols>
  <sheetData>
    <row r="1" spans="1:5" ht="17.25" customHeight="1">
      <c r="A1" s="14"/>
      <c r="B1" s="15"/>
      <c r="C1" s="16"/>
      <c r="D1" s="16"/>
      <c r="E1" s="17"/>
    </row>
    <row r="2" spans="1:5" ht="17.25" customHeight="1">
      <c r="A2" s="14"/>
      <c r="B2" s="15"/>
      <c r="C2" s="16"/>
      <c r="D2" s="16"/>
      <c r="E2" s="17"/>
    </row>
    <row r="3" spans="1:5" s="18" customFormat="1" ht="24">
      <c r="A3" s="92" t="s">
        <v>109</v>
      </c>
      <c r="B3" s="93"/>
      <c r="C3" s="93"/>
      <c r="D3" s="93"/>
      <c r="E3" s="93"/>
    </row>
    <row r="4" spans="1:5" s="18" customFormat="1" ht="17.25" customHeight="1">
      <c r="A4" s="53" t="s">
        <v>143</v>
      </c>
      <c r="B4" s="54" t="s">
        <v>144</v>
      </c>
      <c r="C4" s="54" t="s">
        <v>145</v>
      </c>
      <c r="D4" s="54" t="s">
        <v>146</v>
      </c>
      <c r="E4" s="55" t="s">
        <v>147</v>
      </c>
    </row>
    <row r="5" spans="1:5" ht="17.25" customHeight="1">
      <c r="A5" s="19">
        <v>1</v>
      </c>
      <c r="B5" s="3" t="s">
        <v>105</v>
      </c>
      <c r="C5" s="20" t="s">
        <v>106</v>
      </c>
      <c r="D5" s="20" t="s">
        <v>107</v>
      </c>
      <c r="E5" s="21" t="s">
        <v>108</v>
      </c>
    </row>
  </sheetData>
  <autoFilter ref="A4:E4" xr:uid="{00000000-0001-0000-0500-000000000000}"/>
  <mergeCells count="1">
    <mergeCell ref="A3:E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heetPr>
  <dimension ref="A1:E6"/>
  <sheetViews>
    <sheetView zoomScale="130" zoomScaleNormal="130" workbookViewId="0">
      <selection activeCell="D5" sqref="D5"/>
    </sheetView>
  </sheetViews>
  <sheetFormatPr baseColWidth="10" defaultColWidth="8.83203125" defaultRowHeight="15"/>
  <cols>
    <col min="1" max="1" width="16" style="22" bestFit="1" customWidth="1"/>
    <col min="2" max="2" width="18.33203125" style="1" bestFit="1" customWidth="1"/>
    <col min="3" max="3" width="12.6640625" style="23" bestFit="1" customWidth="1"/>
    <col min="4" max="4" width="16" style="23" bestFit="1" customWidth="1"/>
    <col min="5" max="5" width="16.5" style="24" bestFit="1" customWidth="1"/>
  </cols>
  <sheetData>
    <row r="1" spans="1:5" ht="17.25" customHeight="1">
      <c r="A1" s="14"/>
      <c r="B1" s="15"/>
      <c r="C1" s="16"/>
      <c r="D1" s="16"/>
      <c r="E1" s="17"/>
    </row>
    <row r="2" spans="1:5" ht="17.25" customHeight="1">
      <c r="A2" s="14"/>
      <c r="B2" s="15"/>
      <c r="C2" s="16"/>
      <c r="D2" s="16"/>
      <c r="E2" s="17"/>
    </row>
    <row r="3" spans="1:5" s="18" customFormat="1" ht="24">
      <c r="A3" s="92" t="s">
        <v>99</v>
      </c>
      <c r="B3" s="93"/>
      <c r="C3" s="93"/>
      <c r="D3" s="93"/>
      <c r="E3" s="93"/>
    </row>
    <row r="4" spans="1:5" s="18" customFormat="1" ht="17.25" customHeight="1">
      <c r="A4" s="53" t="s">
        <v>143</v>
      </c>
      <c r="B4" s="54" t="s">
        <v>144</v>
      </c>
      <c r="C4" s="54" t="s">
        <v>145</v>
      </c>
      <c r="D4" s="54" t="s">
        <v>146</v>
      </c>
      <c r="E4" s="55" t="s">
        <v>147</v>
      </c>
    </row>
    <row r="5" spans="1:5" ht="17.25" customHeight="1">
      <c r="A5" s="19">
        <v>1</v>
      </c>
      <c r="B5" s="3" t="s">
        <v>105</v>
      </c>
      <c r="C5" s="20" t="s">
        <v>106</v>
      </c>
      <c r="D5" s="20" t="s">
        <v>107</v>
      </c>
      <c r="E5" s="21" t="s">
        <v>108</v>
      </c>
    </row>
    <row r="6" spans="1:5" ht="16">
      <c r="A6" s="19">
        <v>1</v>
      </c>
      <c r="B6" s="3" t="s">
        <v>105</v>
      </c>
      <c r="C6" s="20" t="s">
        <v>106</v>
      </c>
      <c r="D6" s="20" t="s">
        <v>107</v>
      </c>
      <c r="E6" s="21" t="s">
        <v>152</v>
      </c>
    </row>
  </sheetData>
  <autoFilter ref="A4:E4" xr:uid="{00000000-0001-0000-0600-000000000000}"/>
  <mergeCells count="1">
    <mergeCell ref="A3:E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outlinePr summaryBelow="0"/>
  </sheetPr>
  <dimension ref="B2:C5"/>
  <sheetViews>
    <sheetView zoomScale="130" zoomScaleNormal="130" workbookViewId="0">
      <selection activeCell="B2" sqref="B2"/>
    </sheetView>
  </sheetViews>
  <sheetFormatPr baseColWidth="10" defaultColWidth="8.83203125" defaultRowHeight="15"/>
  <cols>
    <col min="2" max="2" width="12.1640625" bestFit="1" customWidth="1"/>
    <col min="3" max="3" width="17.6640625" bestFit="1" customWidth="1"/>
  </cols>
  <sheetData>
    <row r="2" spans="2:3">
      <c r="B2" s="56" t="s">
        <v>148</v>
      </c>
      <c r="C2" t="s">
        <v>150</v>
      </c>
    </row>
    <row r="3" spans="2:3">
      <c r="B3" s="1" t="s">
        <v>108</v>
      </c>
      <c r="C3">
        <v>1</v>
      </c>
    </row>
    <row r="4" spans="2:3">
      <c r="B4" s="1" t="s">
        <v>151</v>
      </c>
    </row>
    <row r="5" spans="2:3">
      <c r="B5" s="1" t="s">
        <v>149</v>
      </c>
      <c r="C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outlinePr summaryBelow="0"/>
  </sheetPr>
  <dimension ref="B2:C5"/>
  <sheetViews>
    <sheetView zoomScale="130" zoomScaleNormal="130" workbookViewId="0">
      <selection activeCell="B2" sqref="B2"/>
    </sheetView>
  </sheetViews>
  <sheetFormatPr baseColWidth="10" defaultColWidth="8.83203125" defaultRowHeight="15"/>
  <cols>
    <col min="2" max="2" width="12.1640625" bestFit="1" customWidth="1"/>
    <col min="3" max="3" width="17.6640625" bestFit="1" customWidth="1"/>
  </cols>
  <sheetData>
    <row r="2" spans="2:3">
      <c r="B2" s="56" t="s">
        <v>148</v>
      </c>
      <c r="C2" t="s">
        <v>150</v>
      </c>
    </row>
    <row r="3" spans="2:3">
      <c r="B3" s="1" t="s">
        <v>108</v>
      </c>
      <c r="C3">
        <v>1</v>
      </c>
    </row>
    <row r="4" spans="2:3">
      <c r="B4" s="1" t="s">
        <v>151</v>
      </c>
    </row>
    <row r="5" spans="2:3">
      <c r="B5" s="1" t="s">
        <v>149</v>
      </c>
      <c r="C5">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outlinePr summaryBelow="0"/>
  </sheetPr>
  <dimension ref="B1:G35"/>
  <sheetViews>
    <sheetView workbookViewId="0"/>
  </sheetViews>
  <sheetFormatPr baseColWidth="10" defaultColWidth="8.83203125" defaultRowHeight="15"/>
  <cols>
    <col min="1" max="1" width="12.5" bestFit="1" customWidth="1"/>
    <col min="2" max="2" width="49.5" style="1" bestFit="1" customWidth="1"/>
    <col min="3" max="3" width="12.5" style="1" hidden="1" bestFit="1" customWidth="1"/>
    <col min="4" max="4" width="23.5" style="1" bestFit="1" customWidth="1"/>
    <col min="5" max="5" width="27.6640625" style="1" bestFit="1" customWidth="1"/>
    <col min="6" max="6" width="112.5" style="1" bestFit="1" customWidth="1"/>
    <col min="7" max="7" width="242" style="1" bestFit="1" customWidth="1"/>
  </cols>
  <sheetData>
    <row r="1" spans="2:7" ht="17.25" customHeight="1"/>
    <row r="2" spans="2:7" ht="17.25" customHeight="1">
      <c r="B2" s="2" t="s">
        <v>0</v>
      </c>
      <c r="C2" s="2" t="s">
        <v>1</v>
      </c>
      <c r="D2" s="2" t="s">
        <v>2</v>
      </c>
      <c r="E2" s="2" t="s">
        <v>3</v>
      </c>
      <c r="F2" s="2" t="s">
        <v>4</v>
      </c>
      <c r="G2" s="2" t="s">
        <v>5</v>
      </c>
    </row>
    <row r="3" spans="2:7" ht="17.25" customHeight="1">
      <c r="B3" s="3" t="s">
        <v>6</v>
      </c>
      <c r="C3" s="4" t="s">
        <v>7</v>
      </c>
      <c r="D3" s="4" t="s">
        <v>8</v>
      </c>
      <c r="E3" s="5" t="s">
        <v>9</v>
      </c>
      <c r="F3" s="6" t="s">
        <v>10</v>
      </c>
      <c r="G3" s="5" t="s">
        <v>11</v>
      </c>
    </row>
    <row r="4" spans="2:7" ht="17.25" customHeight="1">
      <c r="B4" s="3" t="s">
        <v>12</v>
      </c>
      <c r="C4" s="4"/>
      <c r="D4" s="7" t="s">
        <v>13</v>
      </c>
      <c r="E4" s="5" t="s">
        <v>14</v>
      </c>
      <c r="F4" s="6" t="s">
        <v>10</v>
      </c>
      <c r="G4" s="5" t="s">
        <v>15</v>
      </c>
    </row>
    <row r="5" spans="2:7" ht="17.25" customHeight="1">
      <c r="B5" s="105" t="s">
        <v>16</v>
      </c>
      <c r="C5" s="4"/>
      <c r="D5" s="4" t="s">
        <v>17</v>
      </c>
      <c r="E5" s="108" t="s">
        <v>18</v>
      </c>
      <c r="F5" s="111" t="s">
        <v>10</v>
      </c>
      <c r="G5" s="108" t="s">
        <v>19</v>
      </c>
    </row>
    <row r="6" spans="2:7" ht="17.25" customHeight="1">
      <c r="B6" s="106"/>
      <c r="C6" s="4"/>
      <c r="D6" s="8" t="s">
        <v>20</v>
      </c>
      <c r="E6" s="109"/>
      <c r="F6" s="112"/>
      <c r="G6" s="109"/>
    </row>
    <row r="7" spans="2:7" ht="17.25" customHeight="1">
      <c r="B7" s="106"/>
      <c r="C7" s="4"/>
      <c r="D7" s="4" t="s">
        <v>21</v>
      </c>
      <c r="E7" s="109"/>
      <c r="F7" s="112"/>
      <c r="G7" s="109"/>
    </row>
    <row r="8" spans="2:7" ht="17.25" customHeight="1">
      <c r="B8" s="107"/>
      <c r="C8" s="4"/>
      <c r="D8" s="10" t="s">
        <v>22</v>
      </c>
      <c r="E8" s="110"/>
      <c r="F8" s="113"/>
      <c r="G8" s="110"/>
    </row>
    <row r="9" spans="2:7" ht="17.25" customHeight="1">
      <c r="B9" s="9" t="s">
        <v>16</v>
      </c>
      <c r="C9" s="4"/>
      <c r="D9" s="4" t="s">
        <v>23</v>
      </c>
      <c r="E9" s="7" t="s">
        <v>24</v>
      </c>
      <c r="F9" s="6" t="s">
        <v>10</v>
      </c>
      <c r="G9" s="11" t="s">
        <v>19</v>
      </c>
    </row>
    <row r="10" spans="2:7" ht="17.25" customHeight="1">
      <c r="B10" s="105" t="s">
        <v>25</v>
      </c>
      <c r="C10" s="4"/>
      <c r="D10" s="4" t="s">
        <v>26</v>
      </c>
      <c r="E10" s="108" t="s">
        <v>27</v>
      </c>
      <c r="F10" s="111" t="s">
        <v>10</v>
      </c>
      <c r="G10" s="108" t="s">
        <v>28</v>
      </c>
    </row>
    <row r="11" spans="2:7" ht="17.25" customHeight="1">
      <c r="B11" s="107"/>
      <c r="C11" s="4"/>
      <c r="D11" s="4" t="s">
        <v>29</v>
      </c>
      <c r="E11" s="110"/>
      <c r="F11" s="113"/>
      <c r="G11" s="110"/>
    </row>
    <row r="12" spans="2:7" ht="17.25" customHeight="1">
      <c r="B12" s="3" t="s">
        <v>30</v>
      </c>
      <c r="C12" s="4"/>
      <c r="D12" s="4" t="s">
        <v>31</v>
      </c>
      <c r="E12" s="4" t="s">
        <v>32</v>
      </c>
      <c r="F12" s="6" t="s">
        <v>10</v>
      </c>
      <c r="G12" s="4" t="s">
        <v>33</v>
      </c>
    </row>
    <row r="13" spans="2:7" ht="17.25" customHeight="1">
      <c r="B13" s="3" t="s">
        <v>34</v>
      </c>
      <c r="C13" s="4"/>
      <c r="D13" s="4" t="s">
        <v>35</v>
      </c>
      <c r="E13" s="4" t="s">
        <v>32</v>
      </c>
      <c r="F13" s="6" t="s">
        <v>10</v>
      </c>
      <c r="G13" s="4" t="s">
        <v>36</v>
      </c>
    </row>
    <row r="14" spans="2:7" ht="17.25" customHeight="1">
      <c r="B14" s="3" t="s">
        <v>37</v>
      </c>
      <c r="C14" s="4"/>
      <c r="D14" s="12" t="s">
        <v>38</v>
      </c>
      <c r="E14" s="4" t="s">
        <v>39</v>
      </c>
      <c r="F14" s="6" t="s">
        <v>10</v>
      </c>
      <c r="G14" s="4" t="s">
        <v>40</v>
      </c>
    </row>
    <row r="15" spans="2:7" ht="17.25" customHeight="1">
      <c r="B15" s="3" t="s">
        <v>41</v>
      </c>
      <c r="C15" s="4"/>
      <c r="D15" s="4" t="s">
        <v>42</v>
      </c>
      <c r="E15" s="11" t="s">
        <v>43</v>
      </c>
      <c r="F15" s="6" t="s">
        <v>10</v>
      </c>
      <c r="G15" s="11" t="s">
        <v>44</v>
      </c>
    </row>
    <row r="16" spans="2:7" ht="17.25" customHeight="1">
      <c r="B16" s="3" t="s">
        <v>45</v>
      </c>
      <c r="C16" s="4"/>
      <c r="D16" s="4" t="s">
        <v>46</v>
      </c>
      <c r="E16" s="4" t="s">
        <v>39</v>
      </c>
      <c r="F16" s="6" t="s">
        <v>10</v>
      </c>
      <c r="G16" s="4" t="s">
        <v>47</v>
      </c>
    </row>
    <row r="17" spans="2:7" ht="17.25" customHeight="1">
      <c r="B17" s="3" t="s">
        <v>48</v>
      </c>
      <c r="C17" s="4"/>
      <c r="D17" s="4" t="s">
        <v>49</v>
      </c>
      <c r="E17" s="5" t="s">
        <v>39</v>
      </c>
      <c r="F17" s="6" t="s">
        <v>10</v>
      </c>
      <c r="G17" s="5" t="s">
        <v>50</v>
      </c>
    </row>
    <row r="18" spans="2:7" ht="17.25" customHeight="1">
      <c r="B18" s="3" t="s">
        <v>51</v>
      </c>
      <c r="C18" s="4"/>
      <c r="D18" s="4" t="s">
        <v>52</v>
      </c>
      <c r="E18" s="5" t="s">
        <v>39</v>
      </c>
      <c r="F18" s="4" t="s">
        <v>53</v>
      </c>
      <c r="G18" s="5" t="s">
        <v>54</v>
      </c>
    </row>
    <row r="19" spans="2:7" ht="17.25" customHeight="1">
      <c r="B19" s="3" t="s">
        <v>55</v>
      </c>
      <c r="C19" s="4"/>
      <c r="D19" s="4" t="s">
        <v>56</v>
      </c>
      <c r="E19" s="5" t="s">
        <v>57</v>
      </c>
      <c r="F19" s="6" t="s">
        <v>10</v>
      </c>
      <c r="G19" s="5" t="s">
        <v>58</v>
      </c>
    </row>
    <row r="20" spans="2:7" ht="17.25" customHeight="1">
      <c r="B20" s="3" t="s">
        <v>59</v>
      </c>
      <c r="C20" s="4"/>
      <c r="D20" s="4"/>
      <c r="E20" s="5" t="s">
        <v>60</v>
      </c>
      <c r="F20" s="13" t="s">
        <v>61</v>
      </c>
      <c r="G20" s="5" t="s">
        <v>62</v>
      </c>
    </row>
    <row r="21" spans="2:7" ht="17.25" customHeight="1">
      <c r="B21" s="3" t="s">
        <v>63</v>
      </c>
      <c r="C21" s="4"/>
      <c r="D21" s="4"/>
      <c r="E21" s="5" t="s">
        <v>60</v>
      </c>
      <c r="F21" s="13" t="s">
        <v>61</v>
      </c>
      <c r="G21" s="5" t="s">
        <v>64</v>
      </c>
    </row>
    <row r="22" spans="2:7" ht="17.25" customHeight="1">
      <c r="B22" s="3" t="s">
        <v>65</v>
      </c>
      <c r="C22" s="4"/>
      <c r="D22" s="4"/>
      <c r="E22" s="5" t="s">
        <v>60</v>
      </c>
      <c r="F22" s="13" t="s">
        <v>61</v>
      </c>
      <c r="G22" s="5" t="s">
        <v>66</v>
      </c>
    </row>
    <row r="23" spans="2:7" ht="17.25" customHeight="1">
      <c r="B23" s="3" t="s">
        <v>67</v>
      </c>
      <c r="C23" s="4"/>
      <c r="D23" s="4"/>
      <c r="E23" s="4" t="s">
        <v>68</v>
      </c>
      <c r="F23" s="13" t="s">
        <v>61</v>
      </c>
      <c r="G23" s="4" t="s">
        <v>69</v>
      </c>
    </row>
    <row r="24" spans="2:7" ht="17.25" customHeight="1">
      <c r="B24" s="3" t="s">
        <v>70</v>
      </c>
      <c r="C24" s="4"/>
      <c r="D24" s="4"/>
      <c r="E24" s="4" t="s">
        <v>68</v>
      </c>
      <c r="F24" s="13" t="s">
        <v>61</v>
      </c>
      <c r="G24" s="4"/>
    </row>
    <row r="25" spans="2:7" ht="17.25" customHeight="1">
      <c r="B25" s="3" t="s">
        <v>71</v>
      </c>
      <c r="C25" s="4"/>
      <c r="D25" s="4"/>
      <c r="E25" s="4" t="s">
        <v>68</v>
      </c>
      <c r="F25" s="13" t="s">
        <v>61</v>
      </c>
      <c r="G25" s="4" t="s">
        <v>72</v>
      </c>
    </row>
    <row r="26" spans="2:7" ht="17.25" customHeight="1">
      <c r="B26" s="3" t="s">
        <v>73</v>
      </c>
      <c r="C26" s="4"/>
      <c r="D26" s="4"/>
      <c r="E26" s="4" t="s">
        <v>68</v>
      </c>
      <c r="F26" s="4" t="s">
        <v>74</v>
      </c>
      <c r="G26" s="4" t="s">
        <v>75</v>
      </c>
    </row>
    <row r="27" spans="2:7" ht="16" customHeight="1">
      <c r="B27" s="3" t="s">
        <v>76</v>
      </c>
      <c r="C27" s="4"/>
      <c r="D27" s="4"/>
      <c r="E27" s="4" t="s">
        <v>68</v>
      </c>
      <c r="F27" s="13" t="s">
        <v>61</v>
      </c>
      <c r="G27" s="4" t="s">
        <v>77</v>
      </c>
    </row>
    <row r="28" spans="2:7" ht="17.25" customHeight="1">
      <c r="B28" s="3" t="s">
        <v>78</v>
      </c>
      <c r="C28" s="4"/>
      <c r="D28" s="4"/>
      <c r="E28" s="4" t="s">
        <v>79</v>
      </c>
      <c r="F28" s="4" t="s">
        <v>80</v>
      </c>
      <c r="G28" s="4" t="s">
        <v>81</v>
      </c>
    </row>
    <row r="29" spans="2:7" ht="17.25" customHeight="1">
      <c r="B29" s="3" t="s">
        <v>82</v>
      </c>
      <c r="C29" s="4"/>
      <c r="D29" s="4" t="s">
        <v>83</v>
      </c>
      <c r="E29" s="4" t="s">
        <v>84</v>
      </c>
      <c r="F29" s="6" t="s">
        <v>10</v>
      </c>
      <c r="G29" s="4" t="s">
        <v>85</v>
      </c>
    </row>
    <row r="30" spans="2:7" ht="17.25" customHeight="1">
      <c r="B30" s="105" t="s">
        <v>16</v>
      </c>
      <c r="C30" s="4" t="s">
        <v>86</v>
      </c>
      <c r="D30" s="3" t="s">
        <v>87</v>
      </c>
      <c r="E30" s="108" t="s">
        <v>88</v>
      </c>
      <c r="F30" s="111" t="s">
        <v>10</v>
      </c>
      <c r="G30" s="108" t="s">
        <v>19</v>
      </c>
    </row>
    <row r="31" spans="2:7" ht="17.25" customHeight="1">
      <c r="B31" s="106"/>
      <c r="C31" s="4"/>
      <c r="D31" s="3" t="s">
        <v>89</v>
      </c>
      <c r="E31" s="109"/>
      <c r="F31" s="112"/>
      <c r="G31" s="109"/>
    </row>
    <row r="32" spans="2:7" ht="17.25" customHeight="1">
      <c r="B32" s="107"/>
      <c r="C32" s="4"/>
      <c r="D32" s="3" t="s">
        <v>90</v>
      </c>
      <c r="E32" s="110"/>
      <c r="F32" s="113"/>
      <c r="G32" s="110"/>
    </row>
    <row r="33" spans="2:7" ht="17.25" customHeight="1">
      <c r="B33" s="3" t="s">
        <v>91</v>
      </c>
      <c r="C33" s="4"/>
      <c r="D33" s="4" t="s">
        <v>92</v>
      </c>
      <c r="E33" s="4" t="s">
        <v>93</v>
      </c>
      <c r="F33" s="6" t="s">
        <v>10</v>
      </c>
      <c r="G33" s="4" t="s">
        <v>94</v>
      </c>
    </row>
    <row r="34" spans="2:7" ht="17.25" customHeight="1">
      <c r="B34" s="3" t="s">
        <v>91</v>
      </c>
      <c r="C34" s="4"/>
      <c r="D34" s="4" t="s">
        <v>95</v>
      </c>
      <c r="E34" s="4" t="s">
        <v>96</v>
      </c>
      <c r="F34" s="6" t="s">
        <v>10</v>
      </c>
      <c r="G34" s="4" t="s">
        <v>94</v>
      </c>
    </row>
    <row r="35" spans="2:7" ht="17.25" customHeight="1">
      <c r="B35" s="3" t="s">
        <v>95</v>
      </c>
      <c r="C35" s="4"/>
      <c r="D35" s="4"/>
      <c r="E35" s="4" t="s">
        <v>96</v>
      </c>
      <c r="F35" s="4" t="s">
        <v>97</v>
      </c>
      <c r="G35" s="4" t="s">
        <v>98</v>
      </c>
    </row>
  </sheetData>
  <mergeCells count="12">
    <mergeCell ref="B30:B32"/>
    <mergeCell ref="E30:E32"/>
    <mergeCell ref="F30:F32"/>
    <mergeCell ref="G30:G32"/>
    <mergeCell ref="B5:B8"/>
    <mergeCell ref="E5:E8"/>
    <mergeCell ref="F5:F8"/>
    <mergeCell ref="G5:G8"/>
    <mergeCell ref="B10:B11"/>
    <mergeCell ref="E10:E11"/>
    <mergeCell ref="F10:F11"/>
    <mergeCell ref="G10:G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Resumen</vt:lpstr>
      <vt:lpstr>Inventario - PC</vt:lpstr>
      <vt:lpstr>Inventario - Red</vt:lpstr>
      <vt:lpstr>Inventario</vt:lpstr>
      <vt:lpstr>Inventario - EOL</vt:lpstr>
      <vt:lpstr>Inventario No Identificados</vt:lpstr>
      <vt:lpstr>Inventario Identificados</vt:lpstr>
      <vt:lpstr>No Identificados</vt:lpstr>
      <vt:lpstr>Identificados (OTROS)</vt:lpstr>
      <vt:lpstr>Adaptadores integrados</vt:lpstr>
      <vt:lpstr>'Adaptadores integrados'!_FilterDatabase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Rodriguez Arellano, Jose De Jesus</cp:lastModifiedBy>
  <dcterms:created xsi:type="dcterms:W3CDTF">2025-08-06T00:14:41Z</dcterms:created>
  <dcterms:modified xsi:type="dcterms:W3CDTF">2025-12-17T21:07:01Z</dcterms:modified>
</cp:coreProperties>
</file>